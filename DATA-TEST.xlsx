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bccbo\Desktop\New folder\"/>
    </mc:Choice>
  </mc:AlternateContent>
  <xr:revisionPtr revIDLastSave="0" documentId="13_ncr:1_{2E2804A1-A202-405B-9DB4-03BECE55BB14}" xr6:coauthVersionLast="47" xr6:coauthVersionMax="47" xr10:uidLastSave="{00000000-0000-0000-0000-000000000000}"/>
  <bookViews>
    <workbookView xWindow="28680" yWindow="-7080" windowWidth="29040" windowHeight="15720" tabRatio="611" xr2:uid="{00000000-000D-0000-FFFF-FFFF00000000}"/>
  </bookViews>
  <sheets>
    <sheet name="ชั้น 1" sheetId="1" r:id="rId1"/>
    <sheet name="ชั้น 2" sheetId="2" r:id="rId2"/>
    <sheet name="ชั้น 3" sheetId="3" r:id="rId3"/>
    <sheet name="ชั้น 4" sheetId="4" r:id="rId4"/>
    <sheet name="ชั้น 5" sheetId="5" r:id="rId5"/>
    <sheet name="ชั้น 6" sheetId="6" r:id="rId6"/>
    <sheet name="ชั้น 7" sheetId="7" r:id="rId7"/>
    <sheet name="ชั้น 8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" i="8" l="1"/>
  <c r="R4" i="8"/>
  <c r="R5" i="8"/>
  <c r="R6" i="8"/>
  <c r="R7" i="8"/>
  <c r="R8" i="8"/>
  <c r="R9" i="8"/>
  <c r="R10" i="8"/>
  <c r="R11" i="8"/>
  <c r="R12" i="8"/>
  <c r="R13" i="8"/>
  <c r="R14" i="8"/>
  <c r="R15" i="8"/>
  <c r="R16" i="8"/>
  <c r="R17" i="8"/>
  <c r="R18" i="8"/>
  <c r="R19" i="8"/>
  <c r="R20" i="8"/>
  <c r="R21" i="8"/>
  <c r="R22" i="8"/>
  <c r="R23" i="8"/>
  <c r="R24" i="8"/>
  <c r="R25" i="8"/>
  <c r="R26" i="8"/>
  <c r="R27" i="8"/>
  <c r="R28" i="8"/>
  <c r="R29" i="8"/>
  <c r="R30" i="8"/>
  <c r="R31" i="8"/>
  <c r="R32" i="8"/>
  <c r="R33" i="8"/>
  <c r="R2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8"/>
  <c r="L2" i="8"/>
  <c r="L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2" i="7"/>
  <c r="R3" i="7"/>
  <c r="R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2" i="7"/>
  <c r="L3" i="6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2" i="6"/>
  <c r="R3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3" i="6"/>
  <c r="R2" i="6"/>
  <c r="R3" i="5"/>
  <c r="R4" i="5"/>
  <c r="R5" i="5"/>
  <c r="R6" i="5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26" i="5"/>
  <c r="R27" i="5"/>
  <c r="R28" i="5"/>
  <c r="R29" i="5"/>
  <c r="R30" i="5"/>
  <c r="R31" i="5"/>
  <c r="R32" i="5"/>
  <c r="R33" i="5"/>
  <c r="R2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2" i="5"/>
  <c r="R3" i="4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2" i="4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2" i="3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2" i="2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2" i="1"/>
  <c r="R3" i="1"/>
  <c r="R4" i="1"/>
  <c r="R5" i="1"/>
  <c r="R6" i="1"/>
  <c r="R7" i="1"/>
  <c r="R8" i="1"/>
  <c r="R9" i="1"/>
  <c r="R10" i="1"/>
  <c r="R11" i="1"/>
  <c r="R12" i="1"/>
  <c r="R13" i="1"/>
  <c r="R14" i="1"/>
  <c r="R16" i="1"/>
  <c r="R2" i="1"/>
  <c r="I11" i="4"/>
  <c r="O13" i="7"/>
  <c r="O9" i="8"/>
  <c r="O9" i="1"/>
  <c r="O8" i="1"/>
  <c r="O4" i="7"/>
  <c r="O30" i="8"/>
  <c r="I30" i="8"/>
  <c r="O3" i="2"/>
  <c r="I3" i="2"/>
  <c r="O25" i="8"/>
  <c r="O24" i="8"/>
  <c r="I25" i="8"/>
  <c r="I24" i="8"/>
  <c r="O18" i="8"/>
  <c r="I18" i="8"/>
  <c r="O11" i="8"/>
  <c r="I11" i="8"/>
  <c r="O31" i="7"/>
  <c r="O30" i="7"/>
  <c r="I31" i="7"/>
  <c r="I30" i="7"/>
  <c r="O26" i="7"/>
  <c r="O25" i="7"/>
  <c r="I26" i="7"/>
  <c r="I25" i="7"/>
  <c r="O20" i="7"/>
  <c r="O19" i="7"/>
  <c r="I20" i="7"/>
  <c r="I19" i="7"/>
  <c r="O5" i="7"/>
  <c r="I33" i="2"/>
  <c r="O15" i="1"/>
  <c r="O22" i="6"/>
  <c r="O23" i="6"/>
  <c r="O29" i="5"/>
  <c r="I29" i="5"/>
  <c r="O24" i="2"/>
  <c r="I11" i="7"/>
  <c r="O11" i="7"/>
  <c r="I12" i="7"/>
  <c r="O12" i="7"/>
  <c r="O23" i="5"/>
  <c r="O22" i="5"/>
  <c r="O21" i="5"/>
  <c r="O20" i="5"/>
  <c r="O19" i="5"/>
  <c r="O7" i="5"/>
  <c r="I7" i="5"/>
  <c r="O33" i="7"/>
  <c r="I33" i="7"/>
  <c r="O31" i="6"/>
  <c r="I31" i="6"/>
  <c r="I20" i="5"/>
  <c r="O14" i="5"/>
  <c r="I14" i="5"/>
  <c r="I22" i="5"/>
  <c r="I9" i="1"/>
  <c r="I25" i="5"/>
  <c r="I24" i="5"/>
  <c r="O25" i="5"/>
  <c r="O24" i="5"/>
  <c r="I7" i="6"/>
  <c r="O7" i="6"/>
  <c r="O24" i="7"/>
  <c r="U20" i="7" l="1"/>
  <c r="U19" i="7"/>
  <c r="U9" i="1"/>
  <c r="U30" i="8"/>
  <c r="U25" i="7"/>
  <c r="U26" i="7"/>
  <c r="U11" i="8"/>
  <c r="U30" i="7"/>
  <c r="U18" i="8"/>
  <c r="U24" i="8"/>
  <c r="U25" i="8"/>
  <c r="U31" i="7"/>
  <c r="U12" i="7"/>
  <c r="U11" i="7"/>
  <c r="U33" i="7"/>
  <c r="U31" i="6"/>
  <c r="U22" i="5"/>
  <c r="U20" i="5"/>
  <c r="U7" i="5"/>
  <c r="U24" i="5"/>
  <c r="U25" i="5"/>
  <c r="I30" i="5"/>
  <c r="I28" i="5"/>
  <c r="I9" i="5"/>
  <c r="I16" i="7"/>
  <c r="O26" i="3"/>
  <c r="I26" i="3"/>
  <c r="O9" i="2"/>
  <c r="O29" i="2"/>
  <c r="I29" i="2"/>
  <c r="I4" i="7"/>
  <c r="U4" i="7" s="1"/>
  <c r="I5" i="7"/>
  <c r="U5" i="7" s="1"/>
  <c r="O3" i="7"/>
  <c r="I3" i="7"/>
  <c r="O5" i="6"/>
  <c r="I5" i="6"/>
  <c r="O10" i="6"/>
  <c r="O23" i="4"/>
  <c r="I12" i="5"/>
  <c r="I4" i="1"/>
  <c r="O15" i="6"/>
  <c r="I11" i="6"/>
  <c r="I10" i="6"/>
  <c r="I17" i="2"/>
  <c r="I9" i="7"/>
  <c r="I13" i="4"/>
  <c r="O26" i="6"/>
  <c r="O28" i="8"/>
  <c r="O29" i="8"/>
  <c r="O31" i="8"/>
  <c r="O32" i="8"/>
  <c r="O33" i="8"/>
  <c r="O3" i="8"/>
  <c r="O4" i="8"/>
  <c r="O5" i="8"/>
  <c r="O6" i="8"/>
  <c r="O7" i="8"/>
  <c r="O8" i="8"/>
  <c r="O10" i="8"/>
  <c r="O12" i="8"/>
  <c r="O13" i="8"/>
  <c r="O14" i="8"/>
  <c r="O15" i="8"/>
  <c r="O16" i="8"/>
  <c r="O17" i="8"/>
  <c r="O19" i="8"/>
  <c r="O20" i="8"/>
  <c r="O21" i="8"/>
  <c r="O22" i="8"/>
  <c r="O23" i="8"/>
  <c r="O26" i="8"/>
  <c r="O27" i="8"/>
  <c r="O2" i="8"/>
  <c r="I3" i="8"/>
  <c r="I4" i="8"/>
  <c r="I5" i="8"/>
  <c r="I6" i="8"/>
  <c r="I7" i="8"/>
  <c r="I8" i="8"/>
  <c r="I9" i="8"/>
  <c r="U9" i="8" s="1"/>
  <c r="I10" i="8"/>
  <c r="I12" i="8"/>
  <c r="I13" i="8"/>
  <c r="I14" i="8"/>
  <c r="I15" i="8"/>
  <c r="I16" i="8"/>
  <c r="I17" i="8"/>
  <c r="I19" i="8"/>
  <c r="I20" i="8"/>
  <c r="I21" i="8"/>
  <c r="I22" i="8"/>
  <c r="I23" i="8"/>
  <c r="I26" i="8"/>
  <c r="I27" i="8"/>
  <c r="I28" i="8"/>
  <c r="I29" i="8"/>
  <c r="I31" i="8"/>
  <c r="I32" i="8"/>
  <c r="I33" i="8"/>
  <c r="I2" i="8"/>
  <c r="O6" i="7"/>
  <c r="O7" i="7"/>
  <c r="O8" i="7"/>
  <c r="O9" i="7"/>
  <c r="O10" i="7"/>
  <c r="O14" i="7"/>
  <c r="O15" i="7"/>
  <c r="O16" i="7"/>
  <c r="O17" i="7"/>
  <c r="O18" i="7"/>
  <c r="O21" i="7"/>
  <c r="O22" i="7"/>
  <c r="O23" i="7"/>
  <c r="O27" i="7"/>
  <c r="O28" i="7"/>
  <c r="O29" i="7"/>
  <c r="O32" i="7"/>
  <c r="O2" i="7"/>
  <c r="I6" i="7"/>
  <c r="I7" i="7"/>
  <c r="I8" i="7"/>
  <c r="I10" i="7"/>
  <c r="I13" i="7"/>
  <c r="U13" i="7" s="1"/>
  <c r="I14" i="7"/>
  <c r="I15" i="7"/>
  <c r="I17" i="7"/>
  <c r="I18" i="7"/>
  <c r="I21" i="7"/>
  <c r="I22" i="7"/>
  <c r="I23" i="7"/>
  <c r="I24" i="7"/>
  <c r="I27" i="7"/>
  <c r="I28" i="7"/>
  <c r="I29" i="7"/>
  <c r="I32" i="7"/>
  <c r="I2" i="7"/>
  <c r="O3" i="6"/>
  <c r="O4" i="6"/>
  <c r="O6" i="6"/>
  <c r="O8" i="6"/>
  <c r="O9" i="6"/>
  <c r="O11" i="6"/>
  <c r="O12" i="6"/>
  <c r="O13" i="6"/>
  <c r="O14" i="6"/>
  <c r="O16" i="6"/>
  <c r="O17" i="6"/>
  <c r="O18" i="6"/>
  <c r="O19" i="6"/>
  <c r="O20" i="6"/>
  <c r="O21" i="6"/>
  <c r="O24" i="6"/>
  <c r="O25" i="6"/>
  <c r="O27" i="6"/>
  <c r="O28" i="6"/>
  <c r="O29" i="6"/>
  <c r="O30" i="6"/>
  <c r="O32" i="6"/>
  <c r="O33" i="6"/>
  <c r="O2" i="6"/>
  <c r="I3" i="6"/>
  <c r="I4" i="6"/>
  <c r="I6" i="6"/>
  <c r="I8" i="6"/>
  <c r="I9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2" i="6"/>
  <c r="I33" i="6"/>
  <c r="I2" i="6"/>
  <c r="O3" i="5"/>
  <c r="O4" i="5"/>
  <c r="O5" i="5"/>
  <c r="O6" i="5"/>
  <c r="O8" i="5"/>
  <c r="O9" i="5"/>
  <c r="O10" i="5"/>
  <c r="O11" i="5"/>
  <c r="O12" i="5"/>
  <c r="O13" i="5"/>
  <c r="O15" i="5"/>
  <c r="O16" i="5"/>
  <c r="O17" i="5"/>
  <c r="O18" i="5"/>
  <c r="O26" i="5"/>
  <c r="O27" i="5"/>
  <c r="O28" i="5"/>
  <c r="O30" i="5"/>
  <c r="O31" i="5"/>
  <c r="O32" i="5"/>
  <c r="O33" i="5"/>
  <c r="O2" i="5"/>
  <c r="I3" i="5"/>
  <c r="I4" i="5"/>
  <c r="I5" i="5"/>
  <c r="I6" i="5"/>
  <c r="I8" i="5"/>
  <c r="I10" i="5"/>
  <c r="I11" i="5"/>
  <c r="I13" i="5"/>
  <c r="I15" i="5"/>
  <c r="I16" i="5"/>
  <c r="I17" i="5"/>
  <c r="I18" i="5"/>
  <c r="I19" i="5"/>
  <c r="I21" i="5"/>
  <c r="I23" i="5"/>
  <c r="I26" i="5"/>
  <c r="I27" i="5"/>
  <c r="I31" i="5"/>
  <c r="I32" i="5"/>
  <c r="I33" i="5"/>
  <c r="I2" i="5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4" i="4"/>
  <c r="O25" i="4"/>
  <c r="O26" i="4"/>
  <c r="O27" i="4"/>
  <c r="O28" i="4"/>
  <c r="O29" i="4"/>
  <c r="O30" i="4"/>
  <c r="O31" i="4"/>
  <c r="O32" i="4"/>
  <c r="O33" i="4"/>
  <c r="O2" i="4"/>
  <c r="I3" i="4"/>
  <c r="I4" i="4"/>
  <c r="I5" i="4"/>
  <c r="I6" i="4"/>
  <c r="I7" i="4"/>
  <c r="I8" i="4"/>
  <c r="I9" i="4"/>
  <c r="I10" i="4"/>
  <c r="I12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U26" i="4" s="1"/>
  <c r="I27" i="4"/>
  <c r="I28" i="4"/>
  <c r="I29" i="4"/>
  <c r="I30" i="4"/>
  <c r="I31" i="4"/>
  <c r="I32" i="4"/>
  <c r="I33" i="4"/>
  <c r="I2" i="4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7" i="3"/>
  <c r="O28" i="3"/>
  <c r="O29" i="3"/>
  <c r="O30" i="3"/>
  <c r="O31" i="3"/>
  <c r="O32" i="3"/>
  <c r="O33" i="3"/>
  <c r="O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7" i="3"/>
  <c r="I28" i="3"/>
  <c r="I29" i="3"/>
  <c r="I30" i="3"/>
  <c r="I31" i="3"/>
  <c r="I32" i="3"/>
  <c r="I33" i="3"/>
  <c r="I2" i="3"/>
  <c r="O4" i="2"/>
  <c r="O5" i="2"/>
  <c r="O6" i="2"/>
  <c r="O7" i="2"/>
  <c r="O8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5" i="2"/>
  <c r="O26" i="2"/>
  <c r="O27" i="2"/>
  <c r="O28" i="2"/>
  <c r="O30" i="2"/>
  <c r="O31" i="2"/>
  <c r="O32" i="2"/>
  <c r="O33" i="2"/>
  <c r="O2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30" i="2"/>
  <c r="I31" i="2"/>
  <c r="I32" i="2"/>
  <c r="I2" i="2"/>
  <c r="O3" i="1"/>
  <c r="O4" i="1"/>
  <c r="O5" i="1"/>
  <c r="O6" i="1"/>
  <c r="O7" i="1"/>
  <c r="O10" i="1"/>
  <c r="O11" i="1"/>
  <c r="O12" i="1"/>
  <c r="O13" i="1"/>
  <c r="O14" i="1"/>
  <c r="O16" i="1"/>
  <c r="O2" i="1"/>
  <c r="I3" i="1"/>
  <c r="I5" i="1"/>
  <c r="I6" i="1"/>
  <c r="I7" i="1"/>
  <c r="I8" i="1"/>
  <c r="I10" i="1"/>
  <c r="I11" i="1"/>
  <c r="I12" i="1"/>
  <c r="I13" i="1"/>
  <c r="I14" i="1"/>
  <c r="I15" i="1"/>
  <c r="I16" i="1"/>
  <c r="I2" i="1"/>
  <c r="U23" i="8" l="1"/>
  <c r="U18" i="3"/>
  <c r="U4" i="1"/>
  <c r="U3" i="1"/>
  <c r="U13" i="5"/>
  <c r="U22" i="6"/>
  <c r="U23" i="3"/>
  <c r="U8" i="8"/>
  <c r="U9" i="5"/>
  <c r="U24" i="6"/>
  <c r="U20" i="4"/>
  <c r="U27" i="3"/>
  <c r="U19" i="8"/>
  <c r="U23" i="6"/>
  <c r="U29" i="5"/>
  <c r="U16" i="8"/>
  <c r="U29" i="8"/>
  <c r="U24" i="4"/>
  <c r="U20" i="6"/>
  <c r="U28" i="8"/>
  <c r="U27" i="8"/>
  <c r="U26" i="8"/>
  <c r="U21" i="6"/>
  <c r="U22" i="4"/>
  <c r="U27" i="4"/>
  <c r="U28" i="4"/>
  <c r="U29" i="4"/>
  <c r="U21" i="5"/>
  <c r="U32" i="6"/>
  <c r="U19" i="5"/>
  <c r="U13" i="6"/>
  <c r="U15" i="6"/>
  <c r="U5" i="8"/>
  <c r="U32" i="5"/>
  <c r="U33" i="5"/>
  <c r="U5" i="6"/>
  <c r="U28" i="5"/>
  <c r="U30" i="5"/>
  <c r="U27" i="5"/>
  <c r="U33" i="6"/>
  <c r="U25" i="6"/>
  <c r="U9" i="3"/>
  <c r="U10" i="4"/>
  <c r="U3" i="7"/>
  <c r="U22" i="7"/>
  <c r="U29" i="7"/>
  <c r="U26" i="6"/>
  <c r="U14" i="5"/>
  <c r="U6" i="5"/>
  <c r="U32" i="4"/>
  <c r="U7" i="4"/>
  <c r="U19" i="4"/>
  <c r="U33" i="4"/>
  <c r="U33" i="3"/>
  <c r="U15" i="4"/>
  <c r="U22" i="8"/>
  <c r="U26" i="3"/>
  <c r="U11" i="6"/>
  <c r="U15" i="5"/>
  <c r="U33" i="8"/>
  <c r="U28" i="7"/>
  <c r="U12" i="5"/>
  <c r="U20" i="3"/>
  <c r="U14" i="6"/>
  <c r="U10" i="6"/>
  <c r="U23" i="4"/>
  <c r="U14" i="1"/>
  <c r="U7" i="8"/>
  <c r="U10" i="8"/>
  <c r="U4" i="8"/>
  <c r="U28" i="3"/>
  <c r="U13" i="8"/>
  <c r="U17" i="8"/>
  <c r="U14" i="8"/>
  <c r="U9" i="6"/>
  <c r="U7" i="6"/>
  <c r="U23" i="5"/>
  <c r="U31" i="4"/>
  <c r="U25" i="3"/>
  <c r="U27" i="7"/>
  <c r="U17" i="7"/>
  <c r="U28" i="6"/>
  <c r="U32" i="8" l="1"/>
  <c r="U14" i="7"/>
  <c r="U6" i="7"/>
  <c r="U21" i="7"/>
  <c r="U16" i="6"/>
  <c r="U31" i="5"/>
  <c r="U8" i="1"/>
  <c r="U31" i="8" l="1"/>
  <c r="U17" i="6"/>
  <c r="U12" i="6"/>
  <c r="U8" i="5"/>
  <c r="U8" i="3"/>
  <c r="U32" i="7"/>
  <c r="U4" i="5"/>
  <c r="U5" i="4"/>
  <c r="U29" i="6"/>
  <c r="U3" i="6"/>
  <c r="U6" i="6"/>
  <c r="U16" i="5"/>
  <c r="U18" i="6"/>
  <c r="U14" i="4"/>
  <c r="U13" i="4"/>
  <c r="U11" i="4"/>
  <c r="U3" i="4"/>
  <c r="U16" i="7"/>
  <c r="U15" i="7"/>
  <c r="U18" i="7"/>
  <c r="U12" i="1" l="1"/>
  <c r="U4" i="3" l="1"/>
  <c r="U7" i="7" l="1"/>
  <c r="U12" i="4"/>
  <c r="U14" i="3"/>
  <c r="U4" i="6"/>
  <c r="U4" i="4"/>
  <c r="U16" i="1"/>
  <c r="U15" i="1"/>
  <c r="U13" i="1" l="1"/>
  <c r="U18" i="4"/>
  <c r="U7" i="3"/>
  <c r="U16" i="4"/>
  <c r="U16" i="3"/>
  <c r="U5" i="3"/>
  <c r="U20" i="8"/>
  <c r="U2" i="4"/>
  <c r="U3" i="8"/>
  <c r="U8" i="4"/>
  <c r="U9" i="4"/>
  <c r="U21" i="4"/>
  <c r="U3" i="3"/>
  <c r="U32" i="3"/>
  <c r="U15" i="3"/>
  <c r="U19" i="3"/>
  <c r="U12" i="3"/>
  <c r="U31" i="3"/>
  <c r="U5" i="1"/>
  <c r="U21" i="8"/>
  <c r="U6" i="8"/>
  <c r="U2" i="8"/>
  <c r="U12" i="8"/>
  <c r="U15" i="8"/>
  <c r="U10" i="7"/>
  <c r="U24" i="7"/>
  <c r="U9" i="7"/>
  <c r="U8" i="7"/>
  <c r="U23" i="7"/>
  <c r="U2" i="7"/>
  <c r="U19" i="6"/>
  <c r="U30" i="6"/>
  <c r="U8" i="6"/>
  <c r="U27" i="6"/>
  <c r="U2" i="6"/>
  <c r="U10" i="5"/>
  <c r="U26" i="5"/>
  <c r="U18" i="5"/>
  <c r="U17" i="5"/>
  <c r="U5" i="5"/>
  <c r="U11" i="5"/>
  <c r="U3" i="5"/>
  <c r="U2" i="5"/>
  <c r="U30" i="4"/>
  <c r="U25" i="4"/>
  <c r="U6" i="4"/>
  <c r="U17" i="4"/>
  <c r="U21" i="3"/>
  <c r="U17" i="3"/>
  <c r="U24" i="3"/>
  <c r="U11" i="3"/>
  <c r="U13" i="3"/>
  <c r="U29" i="3"/>
  <c r="U30" i="3"/>
  <c r="U22" i="3"/>
  <c r="U10" i="3"/>
  <c r="U6" i="3"/>
  <c r="U2" i="3"/>
  <c r="U11" i="1"/>
  <c r="U6" i="1"/>
  <c r="U7" i="1"/>
  <c r="U10" i="1"/>
  <c r="U2" i="1"/>
</calcChain>
</file>

<file path=xl/sharedStrings.xml><?xml version="1.0" encoding="utf-8"?>
<sst xmlns="http://schemas.openxmlformats.org/spreadsheetml/2006/main" count="1159" uniqueCount="43">
  <si>
    <t>เดือน</t>
  </si>
  <si>
    <t>ค่าเช่า</t>
  </si>
  <si>
    <t>น้ำก่อน</t>
  </si>
  <si>
    <t>น้ำหลัง</t>
  </si>
  <si>
    <t>ใช้น้ำ</t>
  </si>
  <si>
    <t>ไฟก่อน</t>
  </si>
  <si>
    <t>ไฟหลัง</t>
  </si>
  <si>
    <t>ใช้ไฟ</t>
  </si>
  <si>
    <t>เฟอร์</t>
  </si>
  <si>
    <t>อื่นๆ</t>
  </si>
  <si>
    <t>รวมเงิน</t>
  </si>
  <si>
    <t>798/1</t>
  </si>
  <si>
    <t>798/2</t>
  </si>
  <si>
    <t>798/5</t>
  </si>
  <si>
    <t>798/7</t>
  </si>
  <si>
    <t>798/8</t>
  </si>
  <si>
    <t>798/9</t>
  </si>
  <si>
    <t>798/10</t>
  </si>
  <si>
    <t>798/11</t>
  </si>
  <si>
    <t>798/12</t>
  </si>
  <si>
    <t>798/13</t>
  </si>
  <si>
    <t>798/14</t>
  </si>
  <si>
    <t>798/15</t>
  </si>
  <si>
    <t>798/3</t>
  </si>
  <si>
    <t>798/4</t>
  </si>
  <si>
    <t>798/6</t>
  </si>
  <si>
    <t>ชื่อบัญชี</t>
  </si>
  <si>
    <t>ธนาคาร</t>
  </si>
  <si>
    <t>หมายเลขบัญชี</t>
  </si>
  <si>
    <t xml:space="preserve"> </t>
  </si>
  <si>
    <t>หมายเหตุ</t>
  </si>
  <si>
    <t>ห้อง</t>
  </si>
  <si>
    <t>.</t>
  </si>
  <si>
    <t>พฤษภาคม</t>
  </si>
  <si>
    <t>BANK-1</t>
  </si>
  <si>
    <t>MR.1</t>
  </si>
  <si>
    <t>000-0-00000-1</t>
  </si>
  <si>
    <t>ค่าไฟต่อหน่วย</t>
  </si>
  <si>
    <t>ค่าน้ำต่อหน่วย</t>
  </si>
  <si>
    <t>ค่าบริการมิเตอร์น้ำ</t>
  </si>
  <si>
    <t>ค่าบริการมิเตอร์ไฟ</t>
  </si>
  <si>
    <t>รวมค่าน้ำ</t>
  </si>
  <si>
    <t>รวมค่าไฟ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</si>
</sst>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87" formatCode="#,##0_ ;\-#,##0\ "/>
    <numFmt numFmtId="188" formatCode="_-* #,##0_-;\-* #,##0_-;_-* &quot;-&quot;??_-;_-@_-"/>
    <numFmt numFmtId="189" formatCode="_(* #,##0_);_(* \(#,##0\);_(* &quot;-&quot;??_);_(@_)"/>
  </numFmts>
  <fonts count="24" x14ac:knownFonts="1">
    <font>
      <sz val="11"/>
      <color theme="1"/>
      <name val="Tahoma"/>
      <family val="2"/>
      <scheme val="minor"/>
    </font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scheme val="minor"/>
    </font>
    <font>
      <sz val="12"/>
      <color theme="1"/>
      <name val="Browallia New"/>
      <family val="2"/>
    </font>
    <font>
      <sz val="8"/>
      <color theme="1"/>
      <name val="Browallia New"/>
      <family val="2"/>
    </font>
    <font>
      <b/>
      <sz val="12"/>
      <color theme="1"/>
      <name val="Browallia New"/>
      <family val="2"/>
    </font>
    <font>
      <sz val="10"/>
      <color theme="1"/>
      <name val="Browallia New"/>
      <family val="2"/>
    </font>
    <font>
      <sz val="12"/>
      <name val="Browallia New"/>
      <family val="2"/>
    </font>
    <font>
      <sz val="12"/>
      <color indexed="9"/>
      <name val="Browallia New"/>
      <family val="2"/>
    </font>
    <font>
      <sz val="8"/>
      <name val="Tahoma"/>
      <family val="2"/>
      <scheme val="minor"/>
    </font>
    <font>
      <b/>
      <sz val="12"/>
      <color rgb="FFFF0000"/>
      <name val="Browallia New"/>
      <family val="2"/>
    </font>
    <font>
      <sz val="12"/>
      <color rgb="FFFF0000"/>
      <name val="Browallia New"/>
      <family val="2"/>
    </font>
    <font>
      <b/>
      <sz val="12"/>
      <color rgb="FF00B050"/>
      <name val="Browallia New"/>
      <family val="2"/>
    </font>
    <font>
      <b/>
      <sz val="12"/>
      <name val="Browallia New"/>
      <family val="2"/>
    </font>
    <font>
      <sz val="11"/>
      <color theme="1"/>
      <name val="Tahoma"/>
      <family val="2"/>
      <charset val="222"/>
      <scheme val="minor"/>
    </font>
    <font>
      <b/>
      <sz val="12"/>
      <color theme="9" tint="-0.249977111117893"/>
      <name val="Browallia New"/>
      <family val="2"/>
    </font>
    <font>
      <b/>
      <sz val="8"/>
      <color rgb="FFFF0000"/>
      <name val="Browallia New"/>
      <family val="2"/>
    </font>
    <font>
      <sz val="16"/>
      <color theme="1"/>
      <name val="Arial"/>
      <family val="2"/>
    </font>
    <font>
      <sz val="16"/>
      <name val="Arial"/>
      <family val="2"/>
    </font>
    <font>
      <sz val="10"/>
      <name val="Browallia New"/>
      <family val="2"/>
    </font>
    <font>
      <sz val="8"/>
      <name val="Browallia Ne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43" fontId="5" fillId="0" borderId="0" applyFont="0" applyFill="0" applyBorder="0" applyAlignment="0" applyProtection="0"/>
    <xf numFmtId="0" fontId="17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97">
    <xf numFmtId="0" fontId="0" fillId="0" borderId="0" xfId="0"/>
    <xf numFmtId="0" fontId="6" fillId="2" borderId="1" xfId="0" applyFont="1" applyFill="1" applyBorder="1"/>
    <xf numFmtId="0" fontId="6" fillId="2" borderId="1" xfId="0" applyFont="1" applyFill="1" applyBorder="1" applyAlignment="1">
      <alignment horizontal="left"/>
    </xf>
    <xf numFmtId="0" fontId="6" fillId="0" borderId="1" xfId="0" applyFont="1" applyBorder="1"/>
    <xf numFmtId="0" fontId="6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1" fontId="10" fillId="2" borderId="1" xfId="0" applyNumberFormat="1" applyFont="1" applyFill="1" applyBorder="1" applyAlignment="1">
      <alignment horizontal="center" vertical="center"/>
    </xf>
    <xf numFmtId="188" fontId="10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187" fontId="10" fillId="2" borderId="1" xfId="1" applyNumberFormat="1" applyFont="1" applyFill="1" applyBorder="1" applyAlignment="1" applyProtection="1">
      <alignment horizontal="center"/>
      <protection locked="0"/>
    </xf>
    <xf numFmtId="1" fontId="10" fillId="2" borderId="1" xfId="0" applyNumberFormat="1" applyFont="1" applyFill="1" applyBorder="1" applyAlignment="1">
      <alignment horizontal="center"/>
    </xf>
    <xf numFmtId="188" fontId="10" fillId="2" borderId="1" xfId="1" applyNumberFormat="1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188" fontId="6" fillId="2" borderId="1" xfId="0" applyNumberFormat="1" applyFont="1" applyFill="1" applyBorder="1"/>
    <xf numFmtId="0" fontId="6" fillId="2" borderId="1" xfId="0" applyFont="1" applyFill="1" applyBorder="1" applyAlignment="1">
      <alignment vertical="center"/>
    </xf>
    <xf numFmtId="0" fontId="8" fillId="2" borderId="1" xfId="0" applyFont="1" applyFill="1" applyBorder="1"/>
    <xf numFmtId="0" fontId="8" fillId="2" borderId="1" xfId="0" applyFont="1" applyFill="1" applyBorder="1" applyAlignment="1">
      <alignment horizontal="left"/>
    </xf>
    <xf numFmtId="187" fontId="8" fillId="2" borderId="1" xfId="0" applyNumberFormat="1" applyFont="1" applyFill="1" applyBorder="1"/>
    <xf numFmtId="187" fontId="6" fillId="2" borderId="1" xfId="1" applyNumberFormat="1" applyFont="1" applyFill="1" applyBorder="1" applyAlignment="1">
      <alignment horizontal="center"/>
    </xf>
    <xf numFmtId="188" fontId="8" fillId="2" borderId="1" xfId="0" applyNumberFormat="1" applyFont="1" applyFill="1" applyBorder="1"/>
    <xf numFmtId="0" fontId="6" fillId="0" borderId="1" xfId="0" applyFont="1" applyBorder="1" applyAlignment="1">
      <alignment horizontal="center" vertical="center"/>
    </xf>
    <xf numFmtId="0" fontId="8" fillId="0" borderId="1" xfId="0" applyFont="1" applyBorder="1"/>
    <xf numFmtId="0" fontId="6" fillId="0" borderId="1" xfId="0" applyFont="1" applyBorder="1" applyAlignment="1">
      <alignment vertical="center"/>
    </xf>
    <xf numFmtId="189" fontId="10" fillId="2" borderId="1" xfId="0" applyNumberFormat="1" applyFont="1" applyFill="1" applyBorder="1" applyAlignment="1">
      <alignment horizontal="center"/>
    </xf>
    <xf numFmtId="188" fontId="13" fillId="2" borderId="1" xfId="1" applyNumberFormat="1" applyFont="1" applyFill="1" applyBorder="1" applyAlignment="1">
      <alignment horizontal="left"/>
    </xf>
    <xf numFmtId="0" fontId="13" fillId="2" borderId="1" xfId="0" applyFont="1" applyFill="1" applyBorder="1"/>
    <xf numFmtId="0" fontId="6" fillId="2" borderId="1" xfId="0" applyFont="1" applyFill="1" applyBorder="1" applyAlignment="1">
      <alignment horizontal="left" vertical="center"/>
    </xf>
    <xf numFmtId="0" fontId="15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189" fontId="6" fillId="0" borderId="1" xfId="1" applyNumberFormat="1" applyFont="1" applyBorder="1"/>
    <xf numFmtId="0" fontId="8" fillId="2" borderId="1" xfId="0" applyFont="1" applyFill="1" applyBorder="1" applyAlignment="1">
      <alignment horizontal="left" vertical="center"/>
    </xf>
    <xf numFmtId="187" fontId="8" fillId="2" borderId="1" xfId="0" applyNumberFormat="1" applyFont="1" applyFill="1" applyBorder="1" applyAlignment="1">
      <alignment vertical="center"/>
    </xf>
    <xf numFmtId="189" fontId="10" fillId="2" borderId="1" xfId="0" applyNumberFormat="1" applyFont="1" applyFill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7" fillId="2" borderId="1" xfId="0" applyFont="1" applyFill="1" applyBorder="1"/>
    <xf numFmtId="0" fontId="7" fillId="0" borderId="1" xfId="0" applyFont="1" applyBorder="1" applyAlignment="1">
      <alignment horizontal="left"/>
    </xf>
    <xf numFmtId="0" fontId="7" fillId="0" borderId="1" xfId="0" applyFont="1" applyBorder="1"/>
    <xf numFmtId="0" fontId="10" fillId="2" borderId="1" xfId="0" applyFont="1" applyFill="1" applyBorder="1"/>
    <xf numFmtId="0" fontId="7" fillId="2" borderId="1" xfId="0" applyFont="1" applyFill="1" applyBorder="1" applyAlignment="1">
      <alignment horizontal="left"/>
    </xf>
    <xf numFmtId="187" fontId="8" fillId="2" borderId="1" xfId="0" applyNumberFormat="1" applyFont="1" applyFill="1" applyBorder="1" applyAlignment="1">
      <alignment horizontal="center"/>
    </xf>
    <xf numFmtId="188" fontId="8" fillId="2" borderId="1" xfId="0" applyNumberFormat="1" applyFont="1" applyFill="1" applyBorder="1" applyAlignment="1">
      <alignment horizontal="center"/>
    </xf>
    <xf numFmtId="0" fontId="16" fillId="2" borderId="1" xfId="0" applyFont="1" applyFill="1" applyBorder="1" applyAlignment="1">
      <alignment horizontal="center"/>
    </xf>
    <xf numFmtId="0" fontId="9" fillId="0" borderId="1" xfId="0" applyFont="1" applyBorder="1"/>
    <xf numFmtId="0" fontId="6" fillId="0" borderId="1" xfId="2" applyFont="1" applyBorder="1"/>
    <xf numFmtId="0" fontId="9" fillId="0" borderId="1" xfId="0" applyFont="1" applyBorder="1" applyAlignment="1">
      <alignment horizontal="left"/>
    </xf>
    <xf numFmtId="0" fontId="9" fillId="2" borderId="1" xfId="0" applyFont="1" applyFill="1" applyBorder="1" applyAlignment="1">
      <alignment horizontal="left"/>
    </xf>
    <xf numFmtId="0" fontId="11" fillId="2" borderId="1" xfId="0" applyFont="1" applyFill="1" applyBorder="1" applyAlignment="1">
      <alignment horizontal="center"/>
    </xf>
    <xf numFmtId="188" fontId="14" fillId="2" borderId="1" xfId="0" applyNumberFormat="1" applyFont="1" applyFill="1" applyBorder="1"/>
    <xf numFmtId="188" fontId="18" fillId="2" borderId="1" xfId="1" applyNumberFormat="1" applyFont="1" applyFill="1" applyBorder="1" applyAlignment="1">
      <alignment horizontal="left"/>
    </xf>
    <xf numFmtId="0" fontId="6" fillId="2" borderId="1" xfId="2" applyFont="1" applyFill="1" applyBorder="1"/>
    <xf numFmtId="0" fontId="14" fillId="2" borderId="1" xfId="0" applyFont="1" applyFill="1" applyBorder="1"/>
    <xf numFmtId="17" fontId="6" fillId="2" borderId="1" xfId="0" applyNumberFormat="1" applyFont="1" applyFill="1" applyBorder="1" applyAlignment="1">
      <alignment horizontal="left"/>
    </xf>
    <xf numFmtId="0" fontId="16" fillId="2" borderId="1" xfId="0" applyFont="1" applyFill="1" applyBorder="1" applyAlignment="1">
      <alignment horizontal="left"/>
    </xf>
    <xf numFmtId="0" fontId="6" fillId="2" borderId="1" xfId="0" applyFont="1" applyFill="1" applyBorder="1" applyAlignment="1" applyProtection="1">
      <alignment horizontal="center"/>
      <protection hidden="1"/>
    </xf>
    <xf numFmtId="0" fontId="10" fillId="2" borderId="1" xfId="0" applyFont="1" applyFill="1" applyBorder="1" applyAlignment="1">
      <alignment horizontal="left"/>
    </xf>
    <xf numFmtId="0" fontId="10" fillId="2" borderId="1" xfId="2" applyFont="1" applyFill="1" applyBorder="1"/>
    <xf numFmtId="187" fontId="6" fillId="2" borderId="1" xfId="0" applyNumberFormat="1" applyFont="1" applyFill="1" applyBorder="1"/>
    <xf numFmtId="187" fontId="8" fillId="2" borderId="1" xfId="0" applyNumberFormat="1" applyFont="1" applyFill="1" applyBorder="1" applyAlignment="1">
      <alignment horizontal="right"/>
    </xf>
    <xf numFmtId="0" fontId="13" fillId="2" borderId="1" xfId="0" applyFont="1" applyFill="1" applyBorder="1" applyAlignment="1">
      <alignment horizontal="center"/>
    </xf>
    <xf numFmtId="187" fontId="16" fillId="2" borderId="1" xfId="1" applyNumberFormat="1" applyFont="1" applyFill="1" applyBorder="1" applyAlignment="1" applyProtection="1">
      <alignment horizontal="center"/>
      <protection locked="0"/>
    </xf>
    <xf numFmtId="189" fontId="6" fillId="2" borderId="1" xfId="1" applyNumberFormat="1" applyFont="1" applyFill="1" applyBorder="1"/>
    <xf numFmtId="14" fontId="6" fillId="2" borderId="1" xfId="0" applyNumberFormat="1" applyFont="1" applyFill="1" applyBorder="1"/>
    <xf numFmtId="0" fontId="6" fillId="3" borderId="1" xfId="0" applyFont="1" applyFill="1" applyBorder="1"/>
    <xf numFmtId="188" fontId="19" fillId="2" borderId="1" xfId="1" applyNumberFormat="1" applyFont="1" applyFill="1" applyBorder="1" applyAlignment="1">
      <alignment horizontal="left"/>
    </xf>
    <xf numFmtId="0" fontId="20" fillId="2" borderId="1" xfId="0" applyFont="1" applyFill="1" applyBorder="1"/>
    <xf numFmtId="0" fontId="21" fillId="2" borderId="1" xfId="0" applyFont="1" applyFill="1" applyBorder="1" applyAlignment="1">
      <alignment horizontal="center"/>
    </xf>
    <xf numFmtId="0" fontId="21" fillId="2" borderId="1" xfId="0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center"/>
    </xf>
    <xf numFmtId="3" fontId="20" fillId="2" borderId="1" xfId="0" applyNumberFormat="1" applyFont="1" applyFill="1" applyBorder="1"/>
    <xf numFmtId="3" fontId="20" fillId="2" borderId="1" xfId="1" applyNumberFormat="1" applyFont="1" applyFill="1" applyBorder="1"/>
    <xf numFmtId="189" fontId="10" fillId="2" borderId="1" xfId="1" applyNumberFormat="1" applyFont="1" applyFill="1" applyBorder="1" applyAlignment="1" applyProtection="1">
      <alignment horizontal="center" vertical="center"/>
      <protection locked="0"/>
    </xf>
    <xf numFmtId="189" fontId="10" fillId="2" borderId="1" xfId="1" applyNumberFormat="1" applyFont="1" applyFill="1" applyBorder="1" applyAlignment="1" applyProtection="1">
      <alignment horizontal="center"/>
      <protection locked="0"/>
    </xf>
    <xf numFmtId="188" fontId="10" fillId="2" borderId="1" xfId="1" applyNumberFormat="1" applyFont="1" applyFill="1" applyBorder="1" applyAlignment="1">
      <alignment horizontal="left"/>
    </xf>
    <xf numFmtId="189" fontId="6" fillId="2" borderId="1" xfId="1" applyNumberFormat="1" applyFont="1" applyFill="1" applyBorder="1" applyAlignment="1" applyProtection="1">
      <alignment horizontal="center"/>
      <protection locked="0"/>
    </xf>
    <xf numFmtId="189" fontId="6" fillId="2" borderId="1" xfId="0" applyNumberFormat="1" applyFont="1" applyFill="1" applyBorder="1" applyAlignment="1">
      <alignment horizontal="center"/>
    </xf>
    <xf numFmtId="1" fontId="6" fillId="2" borderId="1" xfId="0" applyNumberFormat="1" applyFont="1" applyFill="1" applyBorder="1" applyAlignment="1">
      <alignment horizontal="center"/>
    </xf>
    <xf numFmtId="188" fontId="6" fillId="2" borderId="1" xfId="1" applyNumberFormat="1" applyFont="1" applyFill="1" applyBorder="1" applyAlignment="1">
      <alignment horizontal="center"/>
    </xf>
    <xf numFmtId="16" fontId="8" fillId="2" borderId="1" xfId="0" applyNumberFormat="1" applyFont="1" applyFill="1" applyBorder="1"/>
    <xf numFmtId="16" fontId="13" fillId="2" borderId="1" xfId="0" applyNumberFormat="1" applyFont="1" applyFill="1" applyBorder="1"/>
    <xf numFmtId="0" fontId="13" fillId="2" borderId="1" xfId="0" quotePrefix="1" applyFont="1" applyFill="1" applyBorder="1"/>
    <xf numFmtId="0" fontId="6" fillId="0" borderId="1" xfId="0" applyFont="1" applyBorder="1" applyAlignment="1">
      <alignment horizontal="left"/>
    </xf>
    <xf numFmtId="188" fontId="13" fillId="2" borderId="1" xfId="1" applyNumberFormat="1" applyFont="1" applyFill="1" applyBorder="1" applyAlignment="1">
      <alignment horizontal="left" vertical="top"/>
    </xf>
    <xf numFmtId="187" fontId="8" fillId="2" borderId="1" xfId="1" applyNumberFormat="1" applyFont="1" applyFill="1" applyBorder="1" applyAlignment="1" applyProtection="1">
      <alignment horizontal="center"/>
      <protection locked="0"/>
    </xf>
    <xf numFmtId="0" fontId="13" fillId="2" borderId="1" xfId="0" applyFont="1" applyFill="1" applyBorder="1" applyAlignment="1">
      <alignment horizontal="left"/>
    </xf>
    <xf numFmtId="0" fontId="9" fillId="2" borderId="1" xfId="0" applyFont="1" applyFill="1" applyBorder="1"/>
    <xf numFmtId="14" fontId="6" fillId="2" borderId="1" xfId="0" applyNumberFormat="1" applyFont="1" applyFill="1" applyBorder="1" applyAlignment="1">
      <alignment horizontal="left"/>
    </xf>
    <xf numFmtId="0" fontId="16" fillId="2" borderId="1" xfId="0" applyFont="1" applyFill="1" applyBorder="1"/>
    <xf numFmtId="17" fontId="10" fillId="2" borderId="1" xfId="0" applyNumberFormat="1" applyFont="1" applyFill="1" applyBorder="1" applyAlignment="1">
      <alignment horizontal="left"/>
    </xf>
    <xf numFmtId="188" fontId="16" fillId="2" borderId="1" xfId="1" applyNumberFormat="1" applyFont="1" applyFill="1" applyBorder="1" applyAlignment="1">
      <alignment horizontal="left"/>
    </xf>
    <xf numFmtId="187" fontId="16" fillId="2" borderId="1" xfId="0" applyNumberFormat="1" applyFont="1" applyFill="1" applyBorder="1"/>
    <xf numFmtId="188" fontId="16" fillId="2" borderId="1" xfId="0" applyNumberFormat="1" applyFont="1" applyFill="1" applyBorder="1"/>
    <xf numFmtId="187" fontId="16" fillId="2" borderId="1" xfId="0" applyNumberFormat="1" applyFont="1" applyFill="1" applyBorder="1" applyAlignment="1">
      <alignment horizontal="right"/>
    </xf>
    <xf numFmtId="0" fontId="22" fillId="2" borderId="1" xfId="0" applyFont="1" applyFill="1" applyBorder="1" applyAlignment="1">
      <alignment horizontal="left"/>
    </xf>
    <xf numFmtId="0" fontId="23" fillId="2" borderId="1" xfId="0" applyFont="1" applyFill="1" applyBorder="1" applyAlignment="1">
      <alignment horizontal="left"/>
    </xf>
  </cellXfs>
  <cellStyles count="7">
    <cellStyle name="Comma" xfId="1" builtinId="3"/>
    <cellStyle name="Normal" xfId="0" builtinId="0"/>
    <cellStyle name="Normal 2" xfId="2" xr:uid="{FB5ED361-215B-474F-8F41-FB539FE3B46C}"/>
    <cellStyle name="Normal 3" xfId="3" xr:uid="{39C7E46E-CC88-4209-AED2-8BAF11226B72}"/>
    <cellStyle name="Normal 4" xfId="4" xr:uid="{FBB089F2-D3AA-45DC-BBA5-78810F33A308}"/>
    <cellStyle name="Normal 5" xfId="5" xr:uid="{60DB8208-B846-4059-925A-356C4B3FD615}"/>
    <cellStyle name="Normal 6" xfId="6" xr:uid="{E8067E1A-40E9-4346-BF87-76F2103A208A}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FFCC"/>
      <color rgb="FFFFCCFF"/>
      <color rgb="FFDAFB7D"/>
      <color rgb="FFFFCDCD"/>
      <color rgb="FFFFFF66"/>
      <color rgb="FF22FEF9"/>
      <color rgb="FFFFCCCC"/>
      <color rgb="FFFFC1C1"/>
      <color rgb="FFFFB3B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5"/>
  <sheetViews>
    <sheetView tabSelected="1" zoomScale="106" zoomScaleNormal="106" workbookViewId="0">
      <selection activeCell="K24" sqref="K24"/>
    </sheetView>
  </sheetViews>
  <sheetFormatPr defaultColWidth="4.75" defaultRowHeight="17.25" x14ac:dyDescent="0.35"/>
  <cols>
    <col min="1" max="1" width="5.625" style="47" customWidth="1"/>
    <col min="2" max="2" width="5.75" style="3" bestFit="1" customWidth="1"/>
    <col min="3" max="3" width="6.25" style="38" customWidth="1"/>
    <col min="4" max="4" width="7.25" style="38" customWidth="1"/>
    <col min="5" max="5" width="13.75" style="39" customWidth="1"/>
    <col min="6" max="6" width="6.75" style="32" customWidth="1"/>
    <col min="7" max="7" width="4.75" style="3" customWidth="1"/>
    <col min="8" max="8" width="4.875" style="3" customWidth="1"/>
    <col min="9" max="9" width="4.25" style="1" customWidth="1"/>
    <col min="10" max="10" width="9.125" style="3" bestFit="1" customWidth="1"/>
    <col min="11" max="11" width="11.625" style="3" bestFit="1" customWidth="1"/>
    <col min="12" max="12" width="8.375" style="3" bestFit="1" customWidth="1"/>
    <col min="13" max="13" width="7.625" style="3" bestFit="1" customWidth="1"/>
    <col min="14" max="14" width="6.25" style="3" bestFit="1" customWidth="1"/>
    <col min="15" max="15" width="6.375" style="1" customWidth="1"/>
    <col min="16" max="16" width="9" style="3" bestFit="1" customWidth="1"/>
    <col min="17" max="17" width="11.5" style="3" bestFit="1" customWidth="1"/>
    <col min="18" max="18" width="6.625" style="3" customWidth="1"/>
    <col min="19" max="19" width="6.125" style="3" bestFit="1" customWidth="1"/>
    <col min="20" max="20" width="5" style="3" customWidth="1"/>
    <col min="21" max="21" width="9.375" style="3" customWidth="1"/>
    <col min="22" max="22" width="18.625" style="3" customWidth="1"/>
    <col min="23" max="23" width="1.25" style="3" customWidth="1"/>
    <col min="24" max="16384" width="4.75" style="3"/>
  </cols>
  <sheetData>
    <row r="1" spans="1:25" s="36" customFormat="1" x14ac:dyDescent="0.35">
      <c r="A1" s="4" t="s">
        <v>0</v>
      </c>
      <c r="B1" s="5" t="s">
        <v>31</v>
      </c>
      <c r="C1" s="4" t="s">
        <v>26</v>
      </c>
      <c r="D1" s="4" t="s">
        <v>27</v>
      </c>
      <c r="E1" s="4" t="s">
        <v>28</v>
      </c>
      <c r="F1" s="73" t="s">
        <v>1</v>
      </c>
      <c r="G1" s="5" t="s">
        <v>2</v>
      </c>
      <c r="H1" s="5" t="s">
        <v>3</v>
      </c>
      <c r="I1" s="5" t="s">
        <v>4</v>
      </c>
      <c r="J1" s="12" t="s">
        <v>38</v>
      </c>
      <c r="K1" s="6" t="s">
        <v>39</v>
      </c>
      <c r="L1" s="7" t="s">
        <v>41</v>
      </c>
      <c r="M1" s="5" t="s">
        <v>5</v>
      </c>
      <c r="N1" s="5" t="s">
        <v>6</v>
      </c>
      <c r="O1" s="5" t="s">
        <v>7</v>
      </c>
      <c r="P1" s="12" t="s">
        <v>37</v>
      </c>
      <c r="Q1" s="5" t="s">
        <v>40</v>
      </c>
      <c r="R1" s="7" t="s">
        <v>42</v>
      </c>
      <c r="S1" s="4" t="s">
        <v>8</v>
      </c>
      <c r="T1" s="4" t="s">
        <v>9</v>
      </c>
      <c r="U1" s="7" t="s">
        <v>10</v>
      </c>
      <c r="V1" s="4" t="s">
        <v>30</v>
      </c>
    </row>
    <row r="2" spans="1:25" x14ac:dyDescent="0.35">
      <c r="A2" s="54" t="s">
        <v>33</v>
      </c>
      <c r="B2" s="12" t="s">
        <v>11</v>
      </c>
      <c r="C2" s="1" t="s">
        <v>35</v>
      </c>
      <c r="D2" s="1" t="s">
        <v>34</v>
      </c>
      <c r="E2" s="1" t="s">
        <v>36</v>
      </c>
      <c r="F2" s="74">
        <v>17000</v>
      </c>
      <c r="G2" s="52">
        <v>243</v>
      </c>
      <c r="H2" s="52">
        <v>258</v>
      </c>
      <c r="I2" s="23">
        <f>H2-G2</f>
        <v>15</v>
      </c>
      <c r="J2" s="23">
        <v>20</v>
      </c>
      <c r="K2" s="10">
        <v>20</v>
      </c>
      <c r="L2" s="11">
        <f>IF(F2= " "," ",IF(I2*J2+K2&lt;120,120,I2*J2+K2))</f>
        <v>320</v>
      </c>
      <c r="M2" s="52">
        <v>33126</v>
      </c>
      <c r="N2" s="52">
        <v>34188</v>
      </c>
      <c r="O2" s="12">
        <f>N2-M2</f>
        <v>1062</v>
      </c>
      <c r="P2" s="12">
        <v>9</v>
      </c>
      <c r="Q2" s="12">
        <v>20</v>
      </c>
      <c r="R2" s="11">
        <f>IF(F2=" "," ",IF(O2*P2+Q2&lt;65,65,O2*P2+Q2))</f>
        <v>9578</v>
      </c>
      <c r="S2" s="8"/>
      <c r="T2" s="8"/>
      <c r="U2" s="11">
        <f>IF(F2=" ",0,SUM(F2,L2,R2,S2,T2))</f>
        <v>26898</v>
      </c>
      <c r="V2" s="1"/>
      <c r="W2" s="1"/>
    </row>
    <row r="3" spans="1:25" s="1" customFormat="1" ht="18" x14ac:dyDescent="0.4">
      <c r="A3" s="54" t="s">
        <v>33</v>
      </c>
      <c r="B3" s="12" t="s">
        <v>12</v>
      </c>
      <c r="C3" s="1" t="s">
        <v>35</v>
      </c>
      <c r="D3" s="1" t="s">
        <v>34</v>
      </c>
      <c r="E3" s="1" t="s">
        <v>36</v>
      </c>
      <c r="F3" s="74">
        <v>5900</v>
      </c>
      <c r="G3" s="52">
        <v>68</v>
      </c>
      <c r="H3" s="52">
        <v>68</v>
      </c>
      <c r="I3" s="23">
        <f t="shared" ref="I3:I16" si="0">H3-G3</f>
        <v>0</v>
      </c>
      <c r="J3" s="23">
        <v>20</v>
      </c>
      <c r="K3" s="10">
        <v>20</v>
      </c>
      <c r="L3" s="11">
        <f t="shared" ref="L3:L16" si="1">IF(F3= " "," ",IF(I3*J3+K3&lt;120,120,I3*J3+K3))</f>
        <v>120</v>
      </c>
      <c r="M3" s="52">
        <v>7828</v>
      </c>
      <c r="N3" s="52">
        <v>8273</v>
      </c>
      <c r="O3" s="12">
        <f t="shared" ref="O3:O16" si="2">N3-M3</f>
        <v>445</v>
      </c>
      <c r="P3" s="12">
        <v>9</v>
      </c>
      <c r="Q3" s="12">
        <v>20</v>
      </c>
      <c r="R3" s="11">
        <f t="shared" ref="R3:R16" si="3">IF(F3=" "," ",IF(O3*P3+Q3&lt;65,65,O3*P3+Q3))</f>
        <v>4025</v>
      </c>
      <c r="S3" s="8"/>
      <c r="T3" s="8"/>
      <c r="U3" s="11">
        <f t="shared" ref="U3:U4" si="4">IF(F3=" ",0,SUM(F3,L3,R3,S3,T3))</f>
        <v>10045</v>
      </c>
      <c r="V3" s="25"/>
    </row>
    <row r="4" spans="1:25" ht="18" x14ac:dyDescent="0.4">
      <c r="A4" s="54" t="s">
        <v>33</v>
      </c>
      <c r="B4" s="12" t="s">
        <v>23</v>
      </c>
      <c r="C4" s="1" t="s">
        <v>35</v>
      </c>
      <c r="D4" s="1" t="s">
        <v>34</v>
      </c>
      <c r="E4" s="1" t="s">
        <v>36</v>
      </c>
      <c r="F4" s="74">
        <v>5900</v>
      </c>
      <c r="G4" s="52">
        <v>188</v>
      </c>
      <c r="H4" s="52">
        <v>188</v>
      </c>
      <c r="I4" s="23">
        <f t="shared" si="0"/>
        <v>0</v>
      </c>
      <c r="J4" s="23">
        <v>20</v>
      </c>
      <c r="K4" s="10">
        <v>20</v>
      </c>
      <c r="L4" s="11">
        <f t="shared" si="1"/>
        <v>120</v>
      </c>
      <c r="M4" s="52">
        <v>1063</v>
      </c>
      <c r="N4" s="52">
        <v>1063</v>
      </c>
      <c r="O4" s="12">
        <f t="shared" si="2"/>
        <v>0</v>
      </c>
      <c r="P4" s="12">
        <v>9</v>
      </c>
      <c r="Q4" s="12">
        <v>20</v>
      </c>
      <c r="R4" s="11">
        <f t="shared" si="3"/>
        <v>65</v>
      </c>
      <c r="S4" s="8"/>
      <c r="T4" s="8"/>
      <c r="U4" s="11">
        <f t="shared" si="4"/>
        <v>6085</v>
      </c>
      <c r="V4" s="24"/>
      <c r="W4" s="1"/>
    </row>
    <row r="5" spans="1:25" x14ac:dyDescent="0.35">
      <c r="A5" s="54" t="s">
        <v>33</v>
      </c>
      <c r="B5" s="12" t="s">
        <v>24</v>
      </c>
      <c r="C5" s="1" t="s">
        <v>35</v>
      </c>
      <c r="D5" s="1" t="s">
        <v>34</v>
      </c>
      <c r="E5" s="1" t="s">
        <v>36</v>
      </c>
      <c r="F5" s="74">
        <v>5900</v>
      </c>
      <c r="G5" s="52">
        <v>552</v>
      </c>
      <c r="H5" s="52">
        <v>557</v>
      </c>
      <c r="I5" s="23">
        <f t="shared" si="0"/>
        <v>5</v>
      </c>
      <c r="J5" s="23">
        <v>20</v>
      </c>
      <c r="K5" s="10">
        <v>20</v>
      </c>
      <c r="L5" s="11">
        <f t="shared" si="1"/>
        <v>120</v>
      </c>
      <c r="M5" s="52">
        <v>14068</v>
      </c>
      <c r="N5" s="52">
        <v>14172</v>
      </c>
      <c r="O5" s="12">
        <f t="shared" si="2"/>
        <v>104</v>
      </c>
      <c r="P5" s="12">
        <v>9</v>
      </c>
      <c r="Q5" s="12">
        <v>20</v>
      </c>
      <c r="R5" s="11">
        <f t="shared" si="3"/>
        <v>956</v>
      </c>
      <c r="S5" s="8"/>
      <c r="T5" s="8"/>
      <c r="U5" s="11">
        <f t="shared" ref="U5:U16" si="5">IF(F5=" ",0,SUM(F5,L5,R5,S5,T5))</f>
        <v>6976</v>
      </c>
      <c r="V5" s="75"/>
      <c r="W5" s="1"/>
    </row>
    <row r="6" spans="1:25" s="1" customFormat="1" x14ac:dyDescent="0.35">
      <c r="A6" s="54" t="s">
        <v>33</v>
      </c>
      <c r="B6" s="12" t="s">
        <v>13</v>
      </c>
      <c r="C6" s="1" t="s">
        <v>35</v>
      </c>
      <c r="D6" s="1" t="s">
        <v>34</v>
      </c>
      <c r="E6" s="1" t="s">
        <v>36</v>
      </c>
      <c r="F6" s="74">
        <v>5900</v>
      </c>
      <c r="G6" s="52">
        <v>749</v>
      </c>
      <c r="H6" s="52">
        <v>772</v>
      </c>
      <c r="I6" s="23">
        <f t="shared" si="0"/>
        <v>23</v>
      </c>
      <c r="J6" s="23">
        <v>20</v>
      </c>
      <c r="K6" s="10">
        <v>20</v>
      </c>
      <c r="L6" s="11">
        <f t="shared" si="1"/>
        <v>480</v>
      </c>
      <c r="M6" s="52">
        <v>6669</v>
      </c>
      <c r="N6" s="52">
        <v>6930</v>
      </c>
      <c r="O6" s="12">
        <f t="shared" si="2"/>
        <v>261</v>
      </c>
      <c r="P6" s="12">
        <v>9</v>
      </c>
      <c r="Q6" s="12">
        <v>20</v>
      </c>
      <c r="R6" s="11">
        <f t="shared" si="3"/>
        <v>2369</v>
      </c>
      <c r="S6" s="8"/>
      <c r="T6" s="8"/>
      <c r="U6" s="11">
        <f t="shared" si="5"/>
        <v>8749</v>
      </c>
    </row>
    <row r="7" spans="1:25" x14ac:dyDescent="0.35">
      <c r="A7" s="54" t="s">
        <v>33</v>
      </c>
      <c r="B7" s="12" t="s">
        <v>25</v>
      </c>
      <c r="C7" s="1" t="s">
        <v>35</v>
      </c>
      <c r="D7" s="1" t="s">
        <v>34</v>
      </c>
      <c r="E7" s="1" t="s">
        <v>36</v>
      </c>
      <c r="F7" s="74">
        <v>5900</v>
      </c>
      <c r="G7" s="52">
        <v>691</v>
      </c>
      <c r="H7" s="52">
        <v>718</v>
      </c>
      <c r="I7" s="23">
        <f t="shared" si="0"/>
        <v>27</v>
      </c>
      <c r="J7" s="23">
        <v>20</v>
      </c>
      <c r="K7" s="10">
        <v>20</v>
      </c>
      <c r="L7" s="11">
        <f t="shared" si="1"/>
        <v>560</v>
      </c>
      <c r="M7" s="52">
        <v>6326</v>
      </c>
      <c r="N7" s="52">
        <v>6496</v>
      </c>
      <c r="O7" s="12">
        <f t="shared" si="2"/>
        <v>170</v>
      </c>
      <c r="P7" s="12">
        <v>9</v>
      </c>
      <c r="Q7" s="12">
        <v>20</v>
      </c>
      <c r="R7" s="11">
        <f t="shared" si="3"/>
        <v>1550</v>
      </c>
      <c r="S7" s="8"/>
      <c r="T7" s="8"/>
      <c r="U7" s="11">
        <f t="shared" si="5"/>
        <v>8010</v>
      </c>
      <c r="V7" s="1"/>
      <c r="W7" s="1"/>
    </row>
    <row r="8" spans="1:25" ht="18" x14ac:dyDescent="0.4">
      <c r="A8" s="54" t="s">
        <v>33</v>
      </c>
      <c r="B8" s="8" t="s">
        <v>14</v>
      </c>
      <c r="C8" s="1" t="s">
        <v>35</v>
      </c>
      <c r="D8" s="1" t="s">
        <v>34</v>
      </c>
      <c r="E8" s="1" t="s">
        <v>36</v>
      </c>
      <c r="F8" s="76">
        <v>5900</v>
      </c>
      <c r="G8" s="52">
        <v>1341</v>
      </c>
      <c r="H8" s="52">
        <v>1341</v>
      </c>
      <c r="I8" s="77">
        <f t="shared" si="0"/>
        <v>0</v>
      </c>
      <c r="J8" s="23">
        <v>20</v>
      </c>
      <c r="K8" s="78">
        <v>20</v>
      </c>
      <c r="L8" s="11">
        <f t="shared" si="1"/>
        <v>120</v>
      </c>
      <c r="M8" s="52">
        <v>0</v>
      </c>
      <c r="N8" s="52">
        <v>0</v>
      </c>
      <c r="O8" s="12">
        <f t="shared" ref="O8:O9" si="6">N8-M8</f>
        <v>0</v>
      </c>
      <c r="P8" s="12">
        <v>9</v>
      </c>
      <c r="Q8" s="12">
        <v>20</v>
      </c>
      <c r="R8" s="11">
        <f t="shared" si="3"/>
        <v>65</v>
      </c>
      <c r="S8" s="8"/>
      <c r="T8" s="8"/>
      <c r="U8" s="11">
        <f t="shared" ref="U8:U9" si="7">IF(F8=" ",0,SUM(F8,L8,R8,S8,T8))</f>
        <v>6085</v>
      </c>
      <c r="V8" s="80"/>
      <c r="W8" s="1"/>
    </row>
    <row r="9" spans="1:25" ht="18" x14ac:dyDescent="0.4">
      <c r="A9" s="54" t="s">
        <v>33</v>
      </c>
      <c r="B9" s="8" t="s">
        <v>15</v>
      </c>
      <c r="C9" s="1" t="s">
        <v>35</v>
      </c>
      <c r="D9" s="1" t="s">
        <v>34</v>
      </c>
      <c r="E9" s="1" t="s">
        <v>36</v>
      </c>
      <c r="F9" s="76">
        <v>5900</v>
      </c>
      <c r="G9" s="52">
        <v>296</v>
      </c>
      <c r="H9" s="52">
        <v>296</v>
      </c>
      <c r="I9" s="77">
        <f>H9-G9</f>
        <v>0</v>
      </c>
      <c r="J9" s="23">
        <v>20</v>
      </c>
      <c r="K9" s="78">
        <v>20</v>
      </c>
      <c r="L9" s="11">
        <f t="shared" si="1"/>
        <v>120</v>
      </c>
      <c r="M9" s="52">
        <v>1419</v>
      </c>
      <c r="N9" s="52">
        <v>1419</v>
      </c>
      <c r="O9" s="12">
        <f t="shared" si="6"/>
        <v>0</v>
      </c>
      <c r="P9" s="12">
        <v>9</v>
      </c>
      <c r="Q9" s="12">
        <v>20</v>
      </c>
      <c r="R9" s="11">
        <f t="shared" si="3"/>
        <v>65</v>
      </c>
      <c r="S9" s="8"/>
      <c r="T9" s="8"/>
      <c r="U9" s="11">
        <f t="shared" si="7"/>
        <v>6085</v>
      </c>
      <c r="V9" s="80"/>
      <c r="W9" s="1"/>
    </row>
    <row r="10" spans="1:25" s="1" customFormat="1" ht="18" x14ac:dyDescent="0.4">
      <c r="A10" s="54" t="s">
        <v>33</v>
      </c>
      <c r="B10" s="8" t="s">
        <v>16</v>
      </c>
      <c r="C10" s="1" t="s">
        <v>35</v>
      </c>
      <c r="D10" s="1" t="s">
        <v>34</v>
      </c>
      <c r="E10" s="1" t="s">
        <v>36</v>
      </c>
      <c r="F10" s="76">
        <v>5900</v>
      </c>
      <c r="G10" s="52">
        <v>107</v>
      </c>
      <c r="H10" s="52">
        <v>115</v>
      </c>
      <c r="I10" s="77">
        <f t="shared" si="0"/>
        <v>8</v>
      </c>
      <c r="J10" s="23">
        <v>20</v>
      </c>
      <c r="K10" s="78">
        <v>20</v>
      </c>
      <c r="L10" s="11">
        <f t="shared" si="1"/>
        <v>180</v>
      </c>
      <c r="M10" s="52">
        <v>376</v>
      </c>
      <c r="N10" s="52">
        <v>439</v>
      </c>
      <c r="O10" s="8">
        <f t="shared" si="2"/>
        <v>63</v>
      </c>
      <c r="P10" s="12">
        <v>9</v>
      </c>
      <c r="Q10" s="8">
        <v>20</v>
      </c>
      <c r="R10" s="11">
        <f t="shared" si="3"/>
        <v>587</v>
      </c>
      <c r="S10" s="8"/>
      <c r="T10" s="28"/>
      <c r="U10" s="79">
        <f t="shared" si="5"/>
        <v>6667</v>
      </c>
      <c r="V10" s="80"/>
    </row>
    <row r="11" spans="1:25" x14ac:dyDescent="0.35">
      <c r="A11" s="54" t="s">
        <v>33</v>
      </c>
      <c r="B11" s="12" t="s">
        <v>17</v>
      </c>
      <c r="C11" s="1" t="s">
        <v>35</v>
      </c>
      <c r="D11" s="1" t="s">
        <v>34</v>
      </c>
      <c r="E11" s="1" t="s">
        <v>36</v>
      </c>
      <c r="F11" s="74">
        <v>5900</v>
      </c>
      <c r="G11" s="52">
        <v>305</v>
      </c>
      <c r="H11" s="52">
        <v>312</v>
      </c>
      <c r="I11" s="23">
        <f t="shared" si="0"/>
        <v>7</v>
      </c>
      <c r="J11" s="23">
        <v>20</v>
      </c>
      <c r="K11" s="10">
        <v>20</v>
      </c>
      <c r="L11" s="11">
        <f t="shared" si="1"/>
        <v>160</v>
      </c>
      <c r="M11" s="52">
        <v>3445</v>
      </c>
      <c r="N11" s="52">
        <v>3517</v>
      </c>
      <c r="O11" s="12">
        <f t="shared" si="2"/>
        <v>72</v>
      </c>
      <c r="P11" s="12">
        <v>9</v>
      </c>
      <c r="Q11" s="12">
        <v>20</v>
      </c>
      <c r="R11" s="11">
        <f t="shared" si="3"/>
        <v>668</v>
      </c>
      <c r="S11" s="8"/>
      <c r="T11" s="8"/>
      <c r="U11" s="11">
        <f t="shared" si="5"/>
        <v>6728</v>
      </c>
      <c r="V11" s="1"/>
      <c r="W11" s="1"/>
    </row>
    <row r="12" spans="1:25" ht="18" x14ac:dyDescent="0.4">
      <c r="A12" s="54" t="s">
        <v>33</v>
      </c>
      <c r="B12" s="12" t="s">
        <v>18</v>
      </c>
      <c r="C12" s="1" t="s">
        <v>35</v>
      </c>
      <c r="D12" s="1" t="s">
        <v>34</v>
      </c>
      <c r="E12" s="1" t="s">
        <v>36</v>
      </c>
      <c r="F12" s="74">
        <v>5900</v>
      </c>
      <c r="G12" s="52">
        <v>644</v>
      </c>
      <c r="H12" s="52">
        <v>658</v>
      </c>
      <c r="I12" s="23">
        <f t="shared" si="0"/>
        <v>14</v>
      </c>
      <c r="J12" s="23">
        <v>20</v>
      </c>
      <c r="K12" s="10">
        <v>20</v>
      </c>
      <c r="L12" s="11">
        <f t="shared" si="1"/>
        <v>300</v>
      </c>
      <c r="M12" s="52">
        <v>2234</v>
      </c>
      <c r="N12" s="52">
        <v>2319</v>
      </c>
      <c r="O12" s="12">
        <f t="shared" si="2"/>
        <v>85</v>
      </c>
      <c r="P12" s="12">
        <v>9</v>
      </c>
      <c r="Q12" s="12">
        <v>20</v>
      </c>
      <c r="R12" s="11">
        <f t="shared" si="3"/>
        <v>785</v>
      </c>
      <c r="S12" s="8"/>
      <c r="T12" s="8"/>
      <c r="U12" s="11">
        <f t="shared" si="5"/>
        <v>6985</v>
      </c>
      <c r="V12" s="81"/>
      <c r="W12" s="1"/>
    </row>
    <row r="13" spans="1:25" s="1" customFormat="1" ht="18" x14ac:dyDescent="0.4">
      <c r="A13" s="54" t="s">
        <v>33</v>
      </c>
      <c r="B13" s="12" t="s">
        <v>19</v>
      </c>
      <c r="C13" s="1" t="s">
        <v>35</v>
      </c>
      <c r="D13" s="1" t="s">
        <v>34</v>
      </c>
      <c r="E13" s="1" t="s">
        <v>36</v>
      </c>
      <c r="F13" s="74">
        <v>5900</v>
      </c>
      <c r="G13" s="52">
        <v>2452</v>
      </c>
      <c r="H13" s="52">
        <v>2479</v>
      </c>
      <c r="I13" s="23">
        <f t="shared" si="0"/>
        <v>27</v>
      </c>
      <c r="J13" s="23">
        <v>20</v>
      </c>
      <c r="K13" s="10">
        <v>20</v>
      </c>
      <c r="L13" s="11">
        <f t="shared" si="1"/>
        <v>560</v>
      </c>
      <c r="M13" s="52">
        <v>11074</v>
      </c>
      <c r="N13" s="52">
        <v>11220</v>
      </c>
      <c r="O13" s="12">
        <f t="shared" si="2"/>
        <v>146</v>
      </c>
      <c r="P13" s="12">
        <v>9</v>
      </c>
      <c r="Q13" s="12">
        <v>20</v>
      </c>
      <c r="R13" s="11">
        <f t="shared" si="3"/>
        <v>1334</v>
      </c>
      <c r="S13" s="8"/>
      <c r="T13" s="8"/>
      <c r="U13" s="11">
        <f t="shared" si="5"/>
        <v>7794</v>
      </c>
      <c r="V13" s="81"/>
    </row>
    <row r="14" spans="1:25" s="1" customFormat="1" ht="18" x14ac:dyDescent="0.4">
      <c r="A14" s="54" t="s">
        <v>33</v>
      </c>
      <c r="B14" s="12" t="s">
        <v>20</v>
      </c>
      <c r="C14" s="1" t="s">
        <v>35</v>
      </c>
      <c r="D14" s="1" t="s">
        <v>34</v>
      </c>
      <c r="E14" s="1" t="s">
        <v>36</v>
      </c>
      <c r="F14" s="74">
        <v>5900</v>
      </c>
      <c r="G14" s="52">
        <v>576</v>
      </c>
      <c r="H14" s="52">
        <v>582</v>
      </c>
      <c r="I14" s="23">
        <f t="shared" si="0"/>
        <v>6</v>
      </c>
      <c r="J14" s="23">
        <v>20</v>
      </c>
      <c r="K14" s="10">
        <v>20</v>
      </c>
      <c r="L14" s="11">
        <f t="shared" si="1"/>
        <v>140</v>
      </c>
      <c r="M14" s="52">
        <v>2982</v>
      </c>
      <c r="N14" s="52">
        <v>3093</v>
      </c>
      <c r="O14" s="12">
        <f t="shared" si="2"/>
        <v>111</v>
      </c>
      <c r="P14" s="12">
        <v>9</v>
      </c>
      <c r="Q14" s="12">
        <v>20</v>
      </c>
      <c r="R14" s="11">
        <f t="shared" si="3"/>
        <v>1019</v>
      </c>
      <c r="S14" s="8"/>
      <c r="T14" s="8"/>
      <c r="U14" s="11">
        <f t="shared" si="5"/>
        <v>7059</v>
      </c>
      <c r="V14" s="82"/>
    </row>
    <row r="15" spans="1:25" x14ac:dyDescent="0.35">
      <c r="A15" s="54" t="s">
        <v>33</v>
      </c>
      <c r="B15" s="12" t="s">
        <v>21</v>
      </c>
      <c r="C15" s="1" t="s">
        <v>35</v>
      </c>
      <c r="D15" s="1" t="s">
        <v>34</v>
      </c>
      <c r="E15" s="1" t="s">
        <v>36</v>
      </c>
      <c r="F15" s="74">
        <v>5000</v>
      </c>
      <c r="G15" s="52">
        <v>250</v>
      </c>
      <c r="H15" s="52">
        <v>250</v>
      </c>
      <c r="I15" s="23">
        <f t="shared" si="0"/>
        <v>0</v>
      </c>
      <c r="J15" s="23">
        <v>20</v>
      </c>
      <c r="K15" s="10">
        <v>20</v>
      </c>
      <c r="L15" s="11">
        <f t="shared" si="1"/>
        <v>120</v>
      </c>
      <c r="M15" s="52">
        <v>0</v>
      </c>
      <c r="N15" s="52"/>
      <c r="O15" s="12">
        <f t="shared" ref="O15" si="8">N15-M15</f>
        <v>0</v>
      </c>
      <c r="P15" s="12">
        <v>9</v>
      </c>
      <c r="Q15" s="12">
        <v>20</v>
      </c>
      <c r="R15" s="11"/>
      <c r="S15" s="8"/>
      <c r="T15" s="8"/>
      <c r="U15" s="11">
        <f t="shared" si="5"/>
        <v>5120</v>
      </c>
      <c r="V15" s="1"/>
      <c r="W15" s="1"/>
      <c r="Y15" s="1"/>
    </row>
    <row r="16" spans="1:25" x14ac:dyDescent="0.35">
      <c r="A16" s="54" t="s">
        <v>33</v>
      </c>
      <c r="B16" s="12" t="s">
        <v>22</v>
      </c>
      <c r="C16" s="1" t="s">
        <v>35</v>
      </c>
      <c r="D16" s="1" t="s">
        <v>34</v>
      </c>
      <c r="E16" s="1" t="s">
        <v>36</v>
      </c>
      <c r="F16" s="74">
        <v>5000</v>
      </c>
      <c r="G16" s="52">
        <v>585</v>
      </c>
      <c r="H16" s="52">
        <v>585</v>
      </c>
      <c r="I16" s="23">
        <f t="shared" si="0"/>
        <v>0</v>
      </c>
      <c r="J16" s="23">
        <v>20</v>
      </c>
      <c r="K16" s="10">
        <v>20</v>
      </c>
      <c r="L16" s="11">
        <f t="shared" si="1"/>
        <v>120</v>
      </c>
      <c r="M16" s="52">
        <v>1</v>
      </c>
      <c r="N16" s="52">
        <v>1</v>
      </c>
      <c r="O16" s="12">
        <f t="shared" si="2"/>
        <v>0</v>
      </c>
      <c r="P16" s="12">
        <v>9</v>
      </c>
      <c r="Q16" s="12">
        <v>20</v>
      </c>
      <c r="R16" s="11">
        <f t="shared" si="3"/>
        <v>65</v>
      </c>
      <c r="S16" s="8"/>
      <c r="T16" s="8"/>
      <c r="U16" s="11">
        <f t="shared" si="5"/>
        <v>5185</v>
      </c>
      <c r="V16" s="1"/>
      <c r="W16" s="1"/>
    </row>
    <row r="17" spans="1:23" x14ac:dyDescent="0.35">
      <c r="A17" s="40"/>
      <c r="B17" s="1"/>
      <c r="C17" s="2"/>
      <c r="D17" s="2"/>
      <c r="E17" s="1"/>
      <c r="F17" s="63"/>
      <c r="G17" s="52"/>
      <c r="H17" s="52"/>
      <c r="I17" s="12"/>
      <c r="J17" s="23"/>
      <c r="K17" s="12"/>
      <c r="L17" s="11"/>
      <c r="M17" s="52"/>
      <c r="N17" s="52"/>
      <c r="O17" s="12"/>
      <c r="P17" s="12"/>
      <c r="Q17" s="12"/>
      <c r="R17" s="11"/>
      <c r="S17" s="1"/>
      <c r="V17" s="1"/>
      <c r="W17" s="1"/>
    </row>
    <row r="18" spans="1:23" x14ac:dyDescent="0.35">
      <c r="A18" s="57"/>
      <c r="B18" s="1"/>
      <c r="C18" s="2"/>
      <c r="D18" s="2"/>
      <c r="E18" s="1"/>
      <c r="F18" s="63"/>
      <c r="G18" s="52"/>
      <c r="H18" s="52"/>
      <c r="I18" s="12"/>
      <c r="J18" s="23"/>
      <c r="K18" s="12"/>
      <c r="L18" s="11"/>
      <c r="M18" s="52"/>
      <c r="N18" s="52"/>
      <c r="O18" s="12"/>
      <c r="P18" s="12"/>
      <c r="Q18" s="12"/>
      <c r="R18" s="11"/>
      <c r="S18" s="1"/>
    </row>
    <row r="19" spans="1:23" x14ac:dyDescent="0.35">
      <c r="A19" s="57"/>
      <c r="B19" s="1"/>
      <c r="C19" s="83"/>
      <c r="D19" s="83"/>
      <c r="E19" s="3"/>
      <c r="J19" s="23"/>
      <c r="K19" s="1"/>
      <c r="L19" s="13"/>
      <c r="M19" s="2"/>
      <c r="N19" s="2"/>
      <c r="O19" s="2"/>
      <c r="P19" s="12"/>
      <c r="Q19" s="1"/>
      <c r="R19" s="63"/>
      <c r="S19" s="50"/>
    </row>
    <row r="20" spans="1:23" x14ac:dyDescent="0.35">
      <c r="A20" s="57"/>
      <c r="B20" s="1"/>
      <c r="C20" s="83"/>
      <c r="D20" s="83"/>
      <c r="E20" s="3"/>
      <c r="G20" s="46"/>
      <c r="H20" s="46"/>
      <c r="I20" s="12"/>
      <c r="J20" s="23"/>
      <c r="K20" s="12"/>
      <c r="L20" s="11"/>
      <c r="M20" s="52"/>
      <c r="N20" s="52"/>
      <c r="O20" s="12"/>
      <c r="P20" s="12"/>
      <c r="Q20" s="12"/>
      <c r="R20" s="11"/>
      <c r="S20" s="1"/>
    </row>
    <row r="21" spans="1:23" x14ac:dyDescent="0.35">
      <c r="A21" s="57"/>
      <c r="B21" s="1"/>
      <c r="C21" s="83"/>
      <c r="D21" s="83"/>
      <c r="E21" s="3"/>
      <c r="G21" s="46"/>
      <c r="H21" s="46"/>
      <c r="I21" s="12"/>
      <c r="J21" s="23"/>
      <c r="K21" s="12"/>
      <c r="L21" s="11"/>
      <c r="M21" s="52"/>
      <c r="N21" s="52"/>
      <c r="O21" s="12"/>
      <c r="P21" s="12"/>
      <c r="Q21" s="12"/>
      <c r="R21" s="11"/>
      <c r="S21" s="1"/>
    </row>
    <row r="22" spans="1:23" x14ac:dyDescent="0.35">
      <c r="A22" s="83"/>
      <c r="C22" s="83"/>
      <c r="D22" s="83"/>
      <c r="E22" s="3"/>
      <c r="J22" s="23"/>
      <c r="P22" s="12"/>
    </row>
    <row r="23" spans="1:23" x14ac:dyDescent="0.35">
      <c r="A23" s="83"/>
      <c r="C23" s="83"/>
      <c r="D23" s="83"/>
      <c r="E23" s="3"/>
      <c r="J23" s="23"/>
      <c r="P23" s="12"/>
    </row>
    <row r="24" spans="1:23" x14ac:dyDescent="0.35">
      <c r="A24" s="83"/>
      <c r="C24" s="83"/>
      <c r="D24" s="83"/>
      <c r="E24" s="3"/>
      <c r="J24" s="23"/>
      <c r="P24" s="12"/>
    </row>
    <row r="25" spans="1:23" x14ac:dyDescent="0.35">
      <c r="A25" s="83"/>
      <c r="C25" s="83"/>
      <c r="D25" s="83"/>
      <c r="E25" s="3"/>
      <c r="J25" s="23"/>
      <c r="P25" s="12"/>
    </row>
    <row r="26" spans="1:23" x14ac:dyDescent="0.35">
      <c r="J26" s="23"/>
      <c r="P26" s="12"/>
    </row>
    <row r="27" spans="1:23" x14ac:dyDescent="0.35">
      <c r="J27" s="23"/>
      <c r="P27" s="12"/>
    </row>
    <row r="28" spans="1:23" x14ac:dyDescent="0.35">
      <c r="J28" s="23"/>
      <c r="P28" s="12"/>
    </row>
    <row r="29" spans="1:23" x14ac:dyDescent="0.35">
      <c r="J29" s="23"/>
      <c r="P29" s="12"/>
    </row>
    <row r="30" spans="1:23" x14ac:dyDescent="0.35">
      <c r="J30" s="23"/>
      <c r="P30" s="12"/>
    </row>
    <row r="31" spans="1:23" x14ac:dyDescent="0.35">
      <c r="J31" s="23"/>
      <c r="P31" s="12"/>
    </row>
    <row r="32" spans="1:23" x14ac:dyDescent="0.35">
      <c r="J32" s="23"/>
      <c r="P32" s="12"/>
    </row>
    <row r="33" spans="10:16" x14ac:dyDescent="0.35">
      <c r="J33" s="23"/>
      <c r="P33" s="12"/>
    </row>
    <row r="34" spans="10:16" ht="18" x14ac:dyDescent="0.4">
      <c r="J34" s="17"/>
      <c r="P34" s="15"/>
    </row>
    <row r="35" spans="10:16" x14ac:dyDescent="0.35">
      <c r="J35" s="1"/>
      <c r="P35" s="1"/>
    </row>
  </sheetData>
  <phoneticPr fontId="12" type="noConversion"/>
  <conditionalFormatting sqref="U2:U16">
    <cfRule type="duplicateValues" dxfId="19" priority="1"/>
  </conditionalFormatting>
  <pageMargins left="0" right="0" top="1" bottom="0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35"/>
  <sheetViews>
    <sheetView zoomScale="96" zoomScaleNormal="96" workbookViewId="0">
      <selection sqref="A1:V1"/>
    </sheetView>
  </sheetViews>
  <sheetFormatPr defaultColWidth="9" defaultRowHeight="18" x14ac:dyDescent="0.4"/>
  <cols>
    <col min="1" max="1" width="6.125" style="47" customWidth="1"/>
    <col min="2" max="2" width="4.375" style="3" bestFit="1" customWidth="1"/>
    <col min="3" max="3" width="4.875" style="38" customWidth="1"/>
    <col min="4" max="4" width="6" style="38" customWidth="1"/>
    <col min="5" max="5" width="7.375" style="39" customWidth="1"/>
    <col min="6" max="6" width="6.875" style="3" customWidth="1"/>
    <col min="7" max="7" width="4.625" style="3" customWidth="1"/>
    <col min="8" max="8" width="7.25" style="3" customWidth="1"/>
    <col min="9" max="9" width="5.75" style="1" customWidth="1"/>
    <col min="10" max="10" width="6" style="3" customWidth="1"/>
    <col min="11" max="11" width="4.125" style="3" customWidth="1"/>
    <col min="12" max="12" width="5.625" style="3" customWidth="1"/>
    <col min="13" max="14" width="5.375" style="3" customWidth="1"/>
    <col min="15" max="15" width="4.375" style="1" customWidth="1"/>
    <col min="16" max="16" width="5.875" style="3" customWidth="1"/>
    <col min="17" max="17" width="5.125" style="3" bestFit="1" customWidth="1"/>
    <col min="18" max="18" width="6" style="3" customWidth="1"/>
    <col min="19" max="19" width="4.25" style="3" bestFit="1" customWidth="1"/>
    <col min="20" max="20" width="4" style="3" bestFit="1" customWidth="1"/>
    <col min="21" max="21" width="7" style="3" customWidth="1"/>
    <col min="22" max="22" width="28" style="3" customWidth="1"/>
    <col min="23" max="23" width="2.125" style="29" customWidth="1"/>
    <col min="24" max="16384" width="9" style="3"/>
  </cols>
  <sheetData>
    <row r="1" spans="1:24" s="20" customFormat="1" ht="19.5" customHeight="1" x14ac:dyDescent="0.35">
      <c r="A1" s="4" t="s">
        <v>0</v>
      </c>
      <c r="B1" s="5" t="s">
        <v>31</v>
      </c>
      <c r="C1" s="4" t="s">
        <v>26</v>
      </c>
      <c r="D1" s="4" t="s">
        <v>27</v>
      </c>
      <c r="E1" s="4" t="s">
        <v>28</v>
      </c>
      <c r="F1" s="73" t="s">
        <v>1</v>
      </c>
      <c r="G1" s="5" t="s">
        <v>2</v>
      </c>
      <c r="H1" s="5" t="s">
        <v>3</v>
      </c>
      <c r="I1" s="5" t="s">
        <v>4</v>
      </c>
      <c r="J1" s="12" t="s">
        <v>38</v>
      </c>
      <c r="K1" s="6" t="s">
        <v>39</v>
      </c>
      <c r="L1" s="7" t="s">
        <v>41</v>
      </c>
      <c r="M1" s="5" t="s">
        <v>5</v>
      </c>
      <c r="N1" s="5" t="s">
        <v>6</v>
      </c>
      <c r="O1" s="5" t="s">
        <v>7</v>
      </c>
      <c r="P1" s="12" t="s">
        <v>37</v>
      </c>
      <c r="Q1" s="5" t="s">
        <v>40</v>
      </c>
      <c r="R1" s="7" t="s">
        <v>42</v>
      </c>
      <c r="S1" s="4" t="s">
        <v>8</v>
      </c>
      <c r="T1" s="4" t="s">
        <v>9</v>
      </c>
      <c r="U1" s="7" t="s">
        <v>10</v>
      </c>
      <c r="V1" s="4" t="s">
        <v>30</v>
      </c>
      <c r="W1" s="31"/>
      <c r="X1" s="4"/>
    </row>
    <row r="2" spans="1:24" s="1" customFormat="1" x14ac:dyDescent="0.4">
      <c r="A2" s="54" t="s">
        <v>33</v>
      </c>
      <c r="B2" s="8">
        <v>3201</v>
      </c>
      <c r="C2" s="1" t="s">
        <v>35</v>
      </c>
      <c r="D2" s="1" t="s">
        <v>34</v>
      </c>
      <c r="E2" s="1" t="s">
        <v>36</v>
      </c>
      <c r="F2" s="9">
        <v>2900</v>
      </c>
      <c r="G2" s="52">
        <v>2766</v>
      </c>
      <c r="H2" s="52">
        <v>2776</v>
      </c>
      <c r="I2" s="23">
        <f>H2-G2</f>
        <v>10</v>
      </c>
      <c r="J2" s="23">
        <v>20</v>
      </c>
      <c r="K2" s="10">
        <v>20</v>
      </c>
      <c r="L2" s="11">
        <f>IF(F2= " "," ",IF(I2*J2+K2&lt;120,120,I2*J2+K2))</f>
        <v>220</v>
      </c>
      <c r="M2" s="52">
        <v>2053</v>
      </c>
      <c r="N2" s="52">
        <v>2122</v>
      </c>
      <c r="O2" s="12">
        <f t="shared" ref="O2:O33" si="0">N2-M2</f>
        <v>69</v>
      </c>
      <c r="P2" s="12">
        <v>9</v>
      </c>
      <c r="Q2" s="12">
        <v>20</v>
      </c>
      <c r="R2" s="11">
        <f>IF(F2=" "," ",IF(O2*P2+Q2&lt;65,65,O2*P2+Q2))</f>
        <v>641</v>
      </c>
      <c r="S2" s="8"/>
      <c r="T2" s="8"/>
      <c r="U2" s="11">
        <f>IF(F2=" ",0,SUM(F2,L2,R2,S2,T2))</f>
        <v>3761</v>
      </c>
      <c r="W2" s="28"/>
    </row>
    <row r="3" spans="1:24" s="1" customFormat="1" x14ac:dyDescent="0.4">
      <c r="A3" s="54" t="s">
        <v>33</v>
      </c>
      <c r="B3" s="8">
        <v>3202</v>
      </c>
      <c r="C3" s="1" t="s">
        <v>35</v>
      </c>
      <c r="D3" s="1" t="s">
        <v>34</v>
      </c>
      <c r="E3" s="1" t="s">
        <v>36</v>
      </c>
      <c r="F3" s="9">
        <v>2900</v>
      </c>
      <c r="G3" s="52">
        <v>155</v>
      </c>
      <c r="H3" s="52">
        <v>157</v>
      </c>
      <c r="I3" s="23">
        <f t="shared" ref="I3" si="1">H3-G3</f>
        <v>2</v>
      </c>
      <c r="J3" s="23">
        <v>20</v>
      </c>
      <c r="K3" s="10">
        <v>20</v>
      </c>
      <c r="L3" s="11">
        <f t="shared" ref="L3:L33" si="2">IF(F3= " "," ",IF(I3*J3+K3&lt;120,120,I3*J3+K3))</f>
        <v>120</v>
      </c>
      <c r="M3" s="52">
        <v>8296</v>
      </c>
      <c r="N3" s="52">
        <v>8304</v>
      </c>
      <c r="O3" s="12">
        <f t="shared" ref="O3" si="3">N3-M3</f>
        <v>8</v>
      </c>
      <c r="P3" s="12">
        <v>9</v>
      </c>
      <c r="Q3" s="12">
        <v>20</v>
      </c>
      <c r="R3" s="11">
        <f t="shared" ref="R3:R33" si="4">IF(F3=" "," ",IF(O3*P3+Q3&lt;65,65,O3*P3+Q3))</f>
        <v>92</v>
      </c>
      <c r="S3" s="8"/>
      <c r="T3" s="8"/>
      <c r="U3" s="11">
        <f t="shared" ref="U3:U33" si="5">IF(F3=" ",0,SUM(F3,L3,R3,S3,T3))</f>
        <v>3112</v>
      </c>
      <c r="V3" s="53"/>
      <c r="W3" s="28"/>
    </row>
    <row r="4" spans="1:24" s="1" customFormat="1" x14ac:dyDescent="0.4">
      <c r="A4" s="54" t="s">
        <v>33</v>
      </c>
      <c r="B4" s="8">
        <v>3203</v>
      </c>
      <c r="C4" s="1" t="s">
        <v>35</v>
      </c>
      <c r="D4" s="1" t="s">
        <v>34</v>
      </c>
      <c r="E4" s="1" t="s">
        <v>36</v>
      </c>
      <c r="F4" s="9">
        <v>2900</v>
      </c>
      <c r="G4" s="52">
        <v>64</v>
      </c>
      <c r="H4" s="52">
        <v>69</v>
      </c>
      <c r="I4" s="23">
        <f t="shared" ref="I4:I32" si="6">H4-G4</f>
        <v>5</v>
      </c>
      <c r="J4" s="23">
        <v>20</v>
      </c>
      <c r="K4" s="10">
        <v>20</v>
      </c>
      <c r="L4" s="11">
        <f t="shared" si="2"/>
        <v>120</v>
      </c>
      <c r="M4" s="52">
        <v>2482</v>
      </c>
      <c r="N4" s="52">
        <v>2552</v>
      </c>
      <c r="O4" s="12">
        <f t="shared" si="0"/>
        <v>70</v>
      </c>
      <c r="P4" s="12">
        <v>9</v>
      </c>
      <c r="Q4" s="12">
        <v>20</v>
      </c>
      <c r="R4" s="11">
        <f t="shared" si="4"/>
        <v>650</v>
      </c>
      <c r="S4" s="8"/>
      <c r="T4" s="8"/>
      <c r="U4" s="11">
        <f t="shared" si="5"/>
        <v>3670</v>
      </c>
      <c r="W4" s="28"/>
    </row>
    <row r="5" spans="1:24" s="1" customFormat="1" x14ac:dyDescent="0.4">
      <c r="A5" s="54" t="s">
        <v>33</v>
      </c>
      <c r="B5" s="8">
        <v>3204</v>
      </c>
      <c r="C5" s="1" t="s">
        <v>35</v>
      </c>
      <c r="D5" s="1" t="s">
        <v>34</v>
      </c>
      <c r="E5" s="1" t="s">
        <v>36</v>
      </c>
      <c r="F5" s="9">
        <v>2900</v>
      </c>
      <c r="G5" s="52">
        <v>1983</v>
      </c>
      <c r="H5" s="52">
        <v>1998</v>
      </c>
      <c r="I5" s="23">
        <f t="shared" si="6"/>
        <v>15</v>
      </c>
      <c r="J5" s="23">
        <v>20</v>
      </c>
      <c r="K5" s="10">
        <v>20</v>
      </c>
      <c r="L5" s="11">
        <f t="shared" si="2"/>
        <v>320</v>
      </c>
      <c r="M5" s="52">
        <v>2929</v>
      </c>
      <c r="N5" s="52">
        <v>3055</v>
      </c>
      <c r="O5" s="12">
        <f t="shared" si="0"/>
        <v>126</v>
      </c>
      <c r="P5" s="12">
        <v>9</v>
      </c>
      <c r="Q5" s="12">
        <v>20</v>
      </c>
      <c r="R5" s="11">
        <f t="shared" si="4"/>
        <v>1154</v>
      </c>
      <c r="S5" s="12"/>
      <c r="T5" s="12"/>
      <c r="U5" s="11">
        <f t="shared" si="5"/>
        <v>4374</v>
      </c>
      <c r="V5" s="84"/>
      <c r="W5" s="28"/>
    </row>
    <row r="6" spans="1:24" s="1" customFormat="1" x14ac:dyDescent="0.4">
      <c r="A6" s="54" t="s">
        <v>33</v>
      </c>
      <c r="B6" s="8">
        <v>3205</v>
      </c>
      <c r="C6" s="1" t="s">
        <v>35</v>
      </c>
      <c r="D6" s="1" t="s">
        <v>34</v>
      </c>
      <c r="E6" s="1" t="s">
        <v>36</v>
      </c>
      <c r="F6" s="9">
        <v>2900</v>
      </c>
      <c r="G6" s="52">
        <v>58</v>
      </c>
      <c r="H6" s="52">
        <v>64</v>
      </c>
      <c r="I6" s="23">
        <f t="shared" si="6"/>
        <v>6</v>
      </c>
      <c r="J6" s="23">
        <v>20</v>
      </c>
      <c r="K6" s="10">
        <v>20</v>
      </c>
      <c r="L6" s="11">
        <f t="shared" si="2"/>
        <v>140</v>
      </c>
      <c r="M6" s="52">
        <v>1075</v>
      </c>
      <c r="N6" s="52">
        <v>1108</v>
      </c>
      <c r="O6" s="12">
        <f t="shared" si="0"/>
        <v>33</v>
      </c>
      <c r="P6" s="12">
        <v>9</v>
      </c>
      <c r="Q6" s="12">
        <v>20</v>
      </c>
      <c r="R6" s="11">
        <f t="shared" si="4"/>
        <v>317</v>
      </c>
      <c r="S6" s="8"/>
      <c r="T6" s="8"/>
      <c r="U6" s="11">
        <f t="shared" si="5"/>
        <v>3357</v>
      </c>
      <c r="V6" s="25"/>
      <c r="W6" s="28"/>
      <c r="X6" s="64"/>
    </row>
    <row r="7" spans="1:24" s="1" customFormat="1" x14ac:dyDescent="0.4">
      <c r="A7" s="54" t="s">
        <v>33</v>
      </c>
      <c r="B7" s="8">
        <v>3206</v>
      </c>
      <c r="C7" s="1" t="s">
        <v>35</v>
      </c>
      <c r="D7" s="1" t="s">
        <v>34</v>
      </c>
      <c r="E7" s="1" t="s">
        <v>36</v>
      </c>
      <c r="F7" s="9">
        <v>2900</v>
      </c>
      <c r="G7" s="52">
        <v>2729</v>
      </c>
      <c r="H7" s="52">
        <v>2741</v>
      </c>
      <c r="I7" s="23">
        <f t="shared" si="6"/>
        <v>12</v>
      </c>
      <c r="J7" s="23">
        <v>20</v>
      </c>
      <c r="K7" s="10">
        <v>20</v>
      </c>
      <c r="L7" s="11">
        <f t="shared" si="2"/>
        <v>260</v>
      </c>
      <c r="M7" s="52">
        <v>1010</v>
      </c>
      <c r="N7" s="52">
        <v>1043</v>
      </c>
      <c r="O7" s="12">
        <f t="shared" si="0"/>
        <v>33</v>
      </c>
      <c r="P7" s="12">
        <v>9</v>
      </c>
      <c r="Q7" s="12">
        <v>20</v>
      </c>
      <c r="R7" s="11">
        <f t="shared" si="4"/>
        <v>317</v>
      </c>
      <c r="S7" s="8"/>
      <c r="T7" s="8"/>
      <c r="U7" s="11">
        <f t="shared" si="5"/>
        <v>3477</v>
      </c>
      <c r="V7" s="25"/>
      <c r="W7" s="28"/>
    </row>
    <row r="8" spans="1:24" s="1" customFormat="1" x14ac:dyDescent="0.4">
      <c r="A8" s="54" t="s">
        <v>33</v>
      </c>
      <c r="B8" s="8">
        <v>3207</v>
      </c>
      <c r="C8" s="1" t="s">
        <v>35</v>
      </c>
      <c r="D8" s="1" t="s">
        <v>34</v>
      </c>
      <c r="E8" s="1" t="s">
        <v>36</v>
      </c>
      <c r="F8" s="9">
        <v>2900</v>
      </c>
      <c r="G8" s="52">
        <v>51</v>
      </c>
      <c r="H8" s="52">
        <v>65</v>
      </c>
      <c r="I8" s="23">
        <f t="shared" si="6"/>
        <v>14</v>
      </c>
      <c r="J8" s="23">
        <v>20</v>
      </c>
      <c r="K8" s="10">
        <v>20</v>
      </c>
      <c r="L8" s="11">
        <f t="shared" si="2"/>
        <v>300</v>
      </c>
      <c r="M8" s="52">
        <v>1125</v>
      </c>
      <c r="N8" s="52">
        <v>1183</v>
      </c>
      <c r="O8" s="12">
        <f t="shared" si="0"/>
        <v>58</v>
      </c>
      <c r="P8" s="12">
        <v>9</v>
      </c>
      <c r="Q8" s="12">
        <v>20</v>
      </c>
      <c r="R8" s="11">
        <f t="shared" si="4"/>
        <v>542</v>
      </c>
      <c r="S8" s="8"/>
      <c r="T8" s="8"/>
      <c r="U8" s="11">
        <f t="shared" si="5"/>
        <v>3742</v>
      </c>
      <c r="V8" s="53"/>
      <c r="W8" s="28"/>
    </row>
    <row r="9" spans="1:24" s="1" customFormat="1" x14ac:dyDescent="0.4">
      <c r="A9" s="54" t="s">
        <v>33</v>
      </c>
      <c r="B9" s="8">
        <v>3208</v>
      </c>
      <c r="C9" s="1" t="s">
        <v>35</v>
      </c>
      <c r="D9" s="1" t="s">
        <v>34</v>
      </c>
      <c r="E9" s="1" t="s">
        <v>36</v>
      </c>
      <c r="F9" s="9">
        <v>2900</v>
      </c>
      <c r="G9" s="52">
        <v>6</v>
      </c>
      <c r="H9" s="52">
        <v>7</v>
      </c>
      <c r="I9" s="23">
        <f t="shared" si="6"/>
        <v>1</v>
      </c>
      <c r="J9" s="23">
        <v>20</v>
      </c>
      <c r="K9" s="10">
        <v>20</v>
      </c>
      <c r="L9" s="11">
        <f t="shared" si="2"/>
        <v>120</v>
      </c>
      <c r="M9" s="52">
        <v>424</v>
      </c>
      <c r="N9" s="52">
        <v>456</v>
      </c>
      <c r="O9" s="12">
        <f>N9-M9</f>
        <v>32</v>
      </c>
      <c r="P9" s="12">
        <v>9</v>
      </c>
      <c r="Q9" s="12">
        <v>20</v>
      </c>
      <c r="R9" s="11">
        <f t="shared" si="4"/>
        <v>308</v>
      </c>
      <c r="S9" s="8"/>
      <c r="T9" s="8"/>
      <c r="U9" s="11">
        <f t="shared" si="5"/>
        <v>3328</v>
      </c>
      <c r="W9" s="28"/>
    </row>
    <row r="10" spans="1:24" s="1" customFormat="1" x14ac:dyDescent="0.4">
      <c r="A10" s="54" t="s">
        <v>33</v>
      </c>
      <c r="B10" s="8">
        <v>3209</v>
      </c>
      <c r="C10" s="1" t="s">
        <v>35</v>
      </c>
      <c r="D10" s="1" t="s">
        <v>34</v>
      </c>
      <c r="E10" s="1" t="s">
        <v>36</v>
      </c>
      <c r="F10" s="9">
        <v>2900</v>
      </c>
      <c r="G10" s="52">
        <v>36</v>
      </c>
      <c r="H10" s="52">
        <v>40</v>
      </c>
      <c r="I10" s="23">
        <f t="shared" si="6"/>
        <v>4</v>
      </c>
      <c r="J10" s="23">
        <v>20</v>
      </c>
      <c r="K10" s="10">
        <v>20</v>
      </c>
      <c r="L10" s="11">
        <f t="shared" si="2"/>
        <v>120</v>
      </c>
      <c r="M10" s="52">
        <v>965</v>
      </c>
      <c r="N10" s="52">
        <v>1006</v>
      </c>
      <c r="O10" s="12">
        <f t="shared" si="0"/>
        <v>41</v>
      </c>
      <c r="P10" s="12">
        <v>9</v>
      </c>
      <c r="Q10" s="12">
        <v>20</v>
      </c>
      <c r="R10" s="11">
        <f t="shared" si="4"/>
        <v>389</v>
      </c>
      <c r="S10" s="8"/>
      <c r="T10" s="8"/>
      <c r="U10" s="11">
        <f t="shared" si="5"/>
        <v>3409</v>
      </c>
      <c r="W10" s="28"/>
    </row>
    <row r="11" spans="1:24" s="1" customFormat="1" x14ac:dyDescent="0.4">
      <c r="A11" s="54" t="s">
        <v>33</v>
      </c>
      <c r="B11" s="8">
        <v>3210</v>
      </c>
      <c r="C11" s="1" t="s">
        <v>35</v>
      </c>
      <c r="D11" s="1" t="s">
        <v>34</v>
      </c>
      <c r="E11" s="1" t="s">
        <v>36</v>
      </c>
      <c r="F11" s="9">
        <v>2900</v>
      </c>
      <c r="G11" s="52">
        <v>31</v>
      </c>
      <c r="H11" s="52">
        <v>34</v>
      </c>
      <c r="I11" s="23">
        <f t="shared" si="6"/>
        <v>3</v>
      </c>
      <c r="J11" s="23">
        <v>20</v>
      </c>
      <c r="K11" s="10">
        <v>20</v>
      </c>
      <c r="L11" s="11">
        <f t="shared" si="2"/>
        <v>120</v>
      </c>
      <c r="M11" s="52">
        <v>1513</v>
      </c>
      <c r="N11" s="52">
        <v>1572</v>
      </c>
      <c r="O11" s="12">
        <f t="shared" si="0"/>
        <v>59</v>
      </c>
      <c r="P11" s="12">
        <v>9</v>
      </c>
      <c r="Q11" s="12">
        <v>20</v>
      </c>
      <c r="R11" s="11">
        <f t="shared" si="4"/>
        <v>551</v>
      </c>
      <c r="S11" s="8"/>
      <c r="T11" s="8"/>
      <c r="U11" s="11">
        <f t="shared" si="5"/>
        <v>3571</v>
      </c>
      <c r="V11" s="25"/>
      <c r="W11" s="28"/>
    </row>
    <row r="12" spans="1:24" s="1" customFormat="1" x14ac:dyDescent="0.4">
      <c r="A12" s="54" t="s">
        <v>33</v>
      </c>
      <c r="B12" s="8">
        <v>3211</v>
      </c>
      <c r="C12" s="1" t="s">
        <v>35</v>
      </c>
      <c r="D12" s="1" t="s">
        <v>34</v>
      </c>
      <c r="E12" s="1" t="s">
        <v>36</v>
      </c>
      <c r="F12" s="9">
        <v>2900</v>
      </c>
      <c r="G12" s="52">
        <v>56</v>
      </c>
      <c r="H12" s="52">
        <v>68</v>
      </c>
      <c r="I12" s="23">
        <f t="shared" si="6"/>
        <v>12</v>
      </c>
      <c r="J12" s="23">
        <v>20</v>
      </c>
      <c r="K12" s="10">
        <v>20</v>
      </c>
      <c r="L12" s="11">
        <f t="shared" si="2"/>
        <v>260</v>
      </c>
      <c r="M12" s="52">
        <v>2069</v>
      </c>
      <c r="N12" s="52">
        <v>2142</v>
      </c>
      <c r="O12" s="12">
        <f t="shared" si="0"/>
        <v>73</v>
      </c>
      <c r="P12" s="12">
        <v>9</v>
      </c>
      <c r="Q12" s="12">
        <v>20</v>
      </c>
      <c r="R12" s="11">
        <f t="shared" si="4"/>
        <v>677</v>
      </c>
      <c r="S12" s="8"/>
      <c r="T12" s="8"/>
      <c r="U12" s="11">
        <f t="shared" si="5"/>
        <v>3837</v>
      </c>
      <c r="V12" s="53"/>
      <c r="W12" s="28"/>
    </row>
    <row r="13" spans="1:24" s="1" customFormat="1" x14ac:dyDescent="0.4">
      <c r="A13" s="54" t="s">
        <v>33</v>
      </c>
      <c r="B13" s="12">
        <v>3212</v>
      </c>
      <c r="C13" s="1" t="s">
        <v>35</v>
      </c>
      <c r="D13" s="1" t="s">
        <v>34</v>
      </c>
      <c r="E13" s="1" t="s">
        <v>36</v>
      </c>
      <c r="F13" s="9">
        <v>2900</v>
      </c>
      <c r="G13" s="52">
        <v>38</v>
      </c>
      <c r="H13" s="52">
        <v>47</v>
      </c>
      <c r="I13" s="23">
        <f t="shared" si="6"/>
        <v>9</v>
      </c>
      <c r="J13" s="23">
        <v>20</v>
      </c>
      <c r="K13" s="10">
        <v>20</v>
      </c>
      <c r="L13" s="11">
        <f t="shared" si="2"/>
        <v>200</v>
      </c>
      <c r="M13" s="52">
        <v>1026</v>
      </c>
      <c r="N13" s="52">
        <v>1090</v>
      </c>
      <c r="O13" s="12">
        <f t="shared" si="0"/>
        <v>64</v>
      </c>
      <c r="P13" s="12">
        <v>9</v>
      </c>
      <c r="Q13" s="12">
        <v>20</v>
      </c>
      <c r="R13" s="11">
        <f t="shared" si="4"/>
        <v>596</v>
      </c>
      <c r="S13" s="8"/>
      <c r="T13" s="8"/>
      <c r="U13" s="11">
        <f t="shared" si="5"/>
        <v>3696</v>
      </c>
      <c r="V13" s="53"/>
      <c r="W13" s="28"/>
    </row>
    <row r="14" spans="1:24" s="1" customFormat="1" x14ac:dyDescent="0.4">
      <c r="A14" s="54" t="s">
        <v>33</v>
      </c>
      <c r="B14" s="8">
        <v>3213</v>
      </c>
      <c r="C14" s="1" t="s">
        <v>35</v>
      </c>
      <c r="D14" s="1" t="s">
        <v>34</v>
      </c>
      <c r="E14" s="1" t="s">
        <v>36</v>
      </c>
      <c r="F14" s="9">
        <v>2900</v>
      </c>
      <c r="G14" s="52">
        <v>100</v>
      </c>
      <c r="H14" s="52">
        <v>112</v>
      </c>
      <c r="I14" s="23">
        <f t="shared" si="6"/>
        <v>12</v>
      </c>
      <c r="J14" s="23">
        <v>20</v>
      </c>
      <c r="K14" s="10">
        <v>20</v>
      </c>
      <c r="L14" s="11">
        <f t="shared" si="2"/>
        <v>260</v>
      </c>
      <c r="M14" s="52">
        <v>1727</v>
      </c>
      <c r="N14" s="52">
        <v>1801</v>
      </c>
      <c r="O14" s="12">
        <f t="shared" si="0"/>
        <v>74</v>
      </c>
      <c r="P14" s="12">
        <v>9</v>
      </c>
      <c r="Q14" s="12">
        <v>20</v>
      </c>
      <c r="R14" s="11">
        <f t="shared" si="4"/>
        <v>686</v>
      </c>
      <c r="S14" s="8"/>
      <c r="T14" s="8"/>
      <c r="U14" s="11">
        <f t="shared" si="5"/>
        <v>3846</v>
      </c>
      <c r="V14" s="25"/>
      <c r="W14" s="28"/>
    </row>
    <row r="15" spans="1:24" s="1" customFormat="1" x14ac:dyDescent="0.4">
      <c r="A15" s="54" t="s">
        <v>33</v>
      </c>
      <c r="B15" s="8">
        <v>3214</v>
      </c>
      <c r="C15" s="1" t="s">
        <v>35</v>
      </c>
      <c r="D15" s="1" t="s">
        <v>34</v>
      </c>
      <c r="E15" s="1" t="s">
        <v>36</v>
      </c>
      <c r="F15" s="9">
        <v>2900</v>
      </c>
      <c r="G15" s="52">
        <v>2452</v>
      </c>
      <c r="H15" s="52">
        <v>2460</v>
      </c>
      <c r="I15" s="23">
        <f t="shared" si="6"/>
        <v>8</v>
      </c>
      <c r="J15" s="23">
        <v>20</v>
      </c>
      <c r="K15" s="10">
        <v>20</v>
      </c>
      <c r="L15" s="11">
        <f t="shared" si="2"/>
        <v>180</v>
      </c>
      <c r="M15" s="52">
        <v>1658</v>
      </c>
      <c r="N15" s="52">
        <v>1697</v>
      </c>
      <c r="O15" s="12">
        <f t="shared" si="0"/>
        <v>39</v>
      </c>
      <c r="P15" s="12">
        <v>9</v>
      </c>
      <c r="Q15" s="12">
        <v>20</v>
      </c>
      <c r="R15" s="11">
        <f t="shared" si="4"/>
        <v>371</v>
      </c>
      <c r="S15" s="8"/>
      <c r="T15" s="8"/>
      <c r="U15" s="11">
        <f t="shared" si="5"/>
        <v>3451</v>
      </c>
      <c r="V15" s="25"/>
      <c r="W15" s="28"/>
    </row>
    <row r="16" spans="1:24" s="1" customFormat="1" x14ac:dyDescent="0.4">
      <c r="A16" s="54" t="s">
        <v>33</v>
      </c>
      <c r="B16" s="8">
        <v>3215</v>
      </c>
      <c r="C16" s="1" t="s">
        <v>35</v>
      </c>
      <c r="D16" s="1" t="s">
        <v>34</v>
      </c>
      <c r="E16" s="1" t="s">
        <v>36</v>
      </c>
      <c r="F16" s="9">
        <v>2900</v>
      </c>
      <c r="G16" s="52">
        <v>1409</v>
      </c>
      <c r="H16" s="52">
        <v>1411</v>
      </c>
      <c r="I16" s="23">
        <f t="shared" si="6"/>
        <v>2</v>
      </c>
      <c r="J16" s="23">
        <v>20</v>
      </c>
      <c r="K16" s="10">
        <v>20</v>
      </c>
      <c r="L16" s="11">
        <f t="shared" si="2"/>
        <v>120</v>
      </c>
      <c r="M16" s="52">
        <v>2026</v>
      </c>
      <c r="N16" s="52">
        <v>2102</v>
      </c>
      <c r="O16" s="12">
        <f t="shared" si="0"/>
        <v>76</v>
      </c>
      <c r="P16" s="12">
        <v>9</v>
      </c>
      <c r="Q16" s="12">
        <v>20</v>
      </c>
      <c r="R16" s="11">
        <f t="shared" si="4"/>
        <v>704</v>
      </c>
      <c r="S16" s="8"/>
      <c r="T16" s="8"/>
      <c r="U16" s="11">
        <f t="shared" si="5"/>
        <v>3724</v>
      </c>
      <c r="W16" s="28"/>
    </row>
    <row r="17" spans="1:27" s="1" customFormat="1" x14ac:dyDescent="0.4">
      <c r="A17" s="54" t="s">
        <v>33</v>
      </c>
      <c r="B17" s="8">
        <v>3216</v>
      </c>
      <c r="C17" s="1" t="s">
        <v>35</v>
      </c>
      <c r="D17" s="1" t="s">
        <v>34</v>
      </c>
      <c r="E17" s="1" t="s">
        <v>36</v>
      </c>
      <c r="F17" s="9">
        <v>2200</v>
      </c>
      <c r="G17" s="52">
        <v>1550</v>
      </c>
      <c r="H17" s="52">
        <v>1552</v>
      </c>
      <c r="I17" s="23">
        <f t="shared" si="6"/>
        <v>2</v>
      </c>
      <c r="J17" s="23">
        <v>20</v>
      </c>
      <c r="K17" s="10">
        <v>20</v>
      </c>
      <c r="L17" s="11">
        <f t="shared" si="2"/>
        <v>120</v>
      </c>
      <c r="M17" s="52">
        <v>2898</v>
      </c>
      <c r="N17" s="52">
        <v>2930</v>
      </c>
      <c r="O17" s="12">
        <f t="shared" si="0"/>
        <v>32</v>
      </c>
      <c r="P17" s="12">
        <v>9</v>
      </c>
      <c r="Q17" s="12">
        <v>20</v>
      </c>
      <c r="R17" s="11">
        <f t="shared" si="4"/>
        <v>308</v>
      </c>
      <c r="S17" s="8"/>
      <c r="T17" s="8"/>
      <c r="U17" s="11">
        <f t="shared" si="5"/>
        <v>2628</v>
      </c>
      <c r="V17" s="24"/>
      <c r="W17" s="28"/>
    </row>
    <row r="18" spans="1:27" s="14" customFormat="1" x14ac:dyDescent="0.35">
      <c r="A18" s="54" t="s">
        <v>33</v>
      </c>
      <c r="B18" s="8">
        <v>3217</v>
      </c>
      <c r="C18" s="1" t="s">
        <v>35</v>
      </c>
      <c r="D18" s="1" t="s">
        <v>34</v>
      </c>
      <c r="E18" s="1" t="s">
        <v>36</v>
      </c>
      <c r="F18" s="9">
        <v>2900</v>
      </c>
      <c r="G18" s="52">
        <v>1679</v>
      </c>
      <c r="H18" s="52">
        <v>1690</v>
      </c>
      <c r="I18" s="23">
        <f t="shared" si="6"/>
        <v>11</v>
      </c>
      <c r="J18" s="23">
        <v>20</v>
      </c>
      <c r="K18" s="6">
        <v>20</v>
      </c>
      <c r="L18" s="11">
        <f t="shared" si="2"/>
        <v>240</v>
      </c>
      <c r="M18" s="52">
        <v>2746</v>
      </c>
      <c r="N18" s="52">
        <v>2852</v>
      </c>
      <c r="O18" s="12">
        <f t="shared" si="0"/>
        <v>106</v>
      </c>
      <c r="P18" s="12">
        <v>9</v>
      </c>
      <c r="Q18" s="5">
        <v>20</v>
      </c>
      <c r="R18" s="11">
        <f t="shared" si="4"/>
        <v>974</v>
      </c>
      <c r="S18" s="4"/>
      <c r="T18" s="4"/>
      <c r="U18" s="11">
        <f t="shared" si="5"/>
        <v>4114</v>
      </c>
      <c r="W18" s="31"/>
    </row>
    <row r="19" spans="1:27" s="1" customFormat="1" x14ac:dyDescent="0.4">
      <c r="A19" s="54" t="s">
        <v>33</v>
      </c>
      <c r="B19" s="8">
        <v>3218</v>
      </c>
      <c r="C19" s="1" t="s">
        <v>35</v>
      </c>
      <c r="D19" s="1" t="s">
        <v>34</v>
      </c>
      <c r="E19" s="1" t="s">
        <v>36</v>
      </c>
      <c r="F19" s="9">
        <v>2900</v>
      </c>
      <c r="G19" s="52">
        <v>1042</v>
      </c>
      <c r="H19" s="52">
        <v>1059</v>
      </c>
      <c r="I19" s="23">
        <f t="shared" si="6"/>
        <v>17</v>
      </c>
      <c r="J19" s="23">
        <v>20</v>
      </c>
      <c r="K19" s="10">
        <v>20</v>
      </c>
      <c r="L19" s="11">
        <f t="shared" si="2"/>
        <v>360</v>
      </c>
      <c r="M19" s="52">
        <v>1560</v>
      </c>
      <c r="N19" s="52">
        <v>1629</v>
      </c>
      <c r="O19" s="12">
        <f t="shared" si="0"/>
        <v>69</v>
      </c>
      <c r="P19" s="12">
        <v>9</v>
      </c>
      <c r="Q19" s="12">
        <v>20</v>
      </c>
      <c r="R19" s="11">
        <f t="shared" si="4"/>
        <v>641</v>
      </c>
      <c r="S19" s="8"/>
      <c r="T19" s="8"/>
      <c r="U19" s="11">
        <f t="shared" si="5"/>
        <v>3901</v>
      </c>
      <c r="W19" s="28"/>
    </row>
    <row r="20" spans="1:27" s="1" customFormat="1" x14ac:dyDescent="0.4">
      <c r="A20" s="54" t="s">
        <v>33</v>
      </c>
      <c r="B20" s="8">
        <v>3219</v>
      </c>
      <c r="C20" s="1" t="s">
        <v>35</v>
      </c>
      <c r="D20" s="1" t="s">
        <v>34</v>
      </c>
      <c r="E20" s="1" t="s">
        <v>36</v>
      </c>
      <c r="F20" s="9">
        <v>2900</v>
      </c>
      <c r="G20" s="52">
        <v>1638</v>
      </c>
      <c r="H20" s="52">
        <v>1640</v>
      </c>
      <c r="I20" s="23">
        <f t="shared" si="6"/>
        <v>2</v>
      </c>
      <c r="J20" s="23">
        <v>20</v>
      </c>
      <c r="K20" s="10">
        <v>20</v>
      </c>
      <c r="L20" s="11">
        <f t="shared" si="2"/>
        <v>120</v>
      </c>
      <c r="M20" s="52">
        <v>1726</v>
      </c>
      <c r="N20" s="52">
        <v>1766</v>
      </c>
      <c r="O20" s="12">
        <f t="shared" si="0"/>
        <v>40</v>
      </c>
      <c r="P20" s="12">
        <v>9</v>
      </c>
      <c r="Q20" s="12">
        <v>20</v>
      </c>
      <c r="R20" s="11">
        <f t="shared" si="4"/>
        <v>380</v>
      </c>
      <c r="S20" s="8"/>
      <c r="T20" s="8"/>
      <c r="U20" s="11">
        <f t="shared" si="5"/>
        <v>3400</v>
      </c>
      <c r="W20" s="28"/>
    </row>
    <row r="21" spans="1:27" x14ac:dyDescent="0.4">
      <c r="A21" s="54" t="s">
        <v>33</v>
      </c>
      <c r="B21" s="8">
        <v>3220</v>
      </c>
      <c r="C21" s="1" t="s">
        <v>35</v>
      </c>
      <c r="D21" s="1" t="s">
        <v>34</v>
      </c>
      <c r="E21" s="1" t="s">
        <v>36</v>
      </c>
      <c r="F21" s="9">
        <v>2900</v>
      </c>
      <c r="G21" s="52">
        <v>1573</v>
      </c>
      <c r="H21" s="52">
        <v>1579</v>
      </c>
      <c r="I21" s="23">
        <f t="shared" si="6"/>
        <v>6</v>
      </c>
      <c r="J21" s="23">
        <v>20</v>
      </c>
      <c r="K21" s="10">
        <v>20</v>
      </c>
      <c r="L21" s="11">
        <f t="shared" si="2"/>
        <v>140</v>
      </c>
      <c r="M21" s="52">
        <v>1094</v>
      </c>
      <c r="N21" s="52">
        <v>1141</v>
      </c>
      <c r="O21" s="12">
        <f t="shared" si="0"/>
        <v>47</v>
      </c>
      <c r="P21" s="12">
        <v>9</v>
      </c>
      <c r="Q21" s="12">
        <v>20</v>
      </c>
      <c r="R21" s="11">
        <f t="shared" si="4"/>
        <v>443</v>
      </c>
      <c r="S21" s="8"/>
      <c r="T21" s="8"/>
      <c r="U21" s="11">
        <f t="shared" si="5"/>
        <v>3483</v>
      </c>
      <c r="V21" s="1"/>
      <c r="W21" s="28"/>
      <c r="X21" s="1"/>
    </row>
    <row r="22" spans="1:27" s="1" customFormat="1" x14ac:dyDescent="0.4">
      <c r="A22" s="54" t="s">
        <v>33</v>
      </c>
      <c r="B22" s="8">
        <v>3221</v>
      </c>
      <c r="C22" s="1" t="s">
        <v>35</v>
      </c>
      <c r="D22" s="1" t="s">
        <v>34</v>
      </c>
      <c r="E22" s="1" t="s">
        <v>36</v>
      </c>
      <c r="F22" s="9">
        <v>2900</v>
      </c>
      <c r="G22" s="52">
        <v>1522</v>
      </c>
      <c r="H22" s="52">
        <v>1528</v>
      </c>
      <c r="I22" s="23">
        <f t="shared" si="6"/>
        <v>6</v>
      </c>
      <c r="J22" s="23">
        <v>20</v>
      </c>
      <c r="K22" s="10">
        <v>20</v>
      </c>
      <c r="L22" s="11">
        <f t="shared" si="2"/>
        <v>140</v>
      </c>
      <c r="M22" s="52">
        <v>2986</v>
      </c>
      <c r="N22" s="52">
        <v>3024</v>
      </c>
      <c r="O22" s="12">
        <f t="shared" si="0"/>
        <v>38</v>
      </c>
      <c r="P22" s="12">
        <v>9</v>
      </c>
      <c r="Q22" s="12">
        <v>20</v>
      </c>
      <c r="R22" s="11">
        <f t="shared" si="4"/>
        <v>362</v>
      </c>
      <c r="S22" s="8"/>
      <c r="T22" s="8"/>
      <c r="U22" s="11">
        <f t="shared" si="5"/>
        <v>3402</v>
      </c>
      <c r="V22" s="53"/>
      <c r="W22" s="28"/>
    </row>
    <row r="23" spans="1:27" x14ac:dyDescent="0.4">
      <c r="A23" s="54" t="s">
        <v>33</v>
      </c>
      <c r="B23" s="8">
        <v>3222</v>
      </c>
      <c r="C23" s="1" t="s">
        <v>35</v>
      </c>
      <c r="D23" s="1" t="s">
        <v>34</v>
      </c>
      <c r="E23" s="1" t="s">
        <v>36</v>
      </c>
      <c r="F23" s="9">
        <v>2900</v>
      </c>
      <c r="G23" s="52">
        <v>725</v>
      </c>
      <c r="H23" s="52">
        <v>736</v>
      </c>
      <c r="I23" s="23">
        <f t="shared" si="6"/>
        <v>11</v>
      </c>
      <c r="J23" s="23">
        <v>20</v>
      </c>
      <c r="K23" s="10">
        <v>20</v>
      </c>
      <c r="L23" s="11">
        <f t="shared" si="2"/>
        <v>240</v>
      </c>
      <c r="M23" s="52">
        <v>1970</v>
      </c>
      <c r="N23" s="52">
        <v>2303</v>
      </c>
      <c r="O23" s="12">
        <f t="shared" si="0"/>
        <v>333</v>
      </c>
      <c r="P23" s="12">
        <v>9</v>
      </c>
      <c r="Q23" s="12">
        <v>20</v>
      </c>
      <c r="R23" s="11">
        <f t="shared" si="4"/>
        <v>3017</v>
      </c>
      <c r="S23" s="8"/>
      <c r="T23" s="8"/>
      <c r="U23" s="11">
        <f t="shared" si="5"/>
        <v>6157</v>
      </c>
      <c r="V23" s="24"/>
      <c r="W23" s="28"/>
      <c r="X23" s="1"/>
    </row>
    <row r="24" spans="1:27" s="1" customFormat="1" x14ac:dyDescent="0.4">
      <c r="A24" s="54" t="s">
        <v>33</v>
      </c>
      <c r="B24" s="12">
        <v>3223</v>
      </c>
      <c r="C24" s="1" t="s">
        <v>35</v>
      </c>
      <c r="D24" s="1" t="s">
        <v>34</v>
      </c>
      <c r="E24" s="1" t="s">
        <v>36</v>
      </c>
      <c r="F24" s="9">
        <v>2900</v>
      </c>
      <c r="G24" s="52">
        <v>32</v>
      </c>
      <c r="H24" s="52">
        <v>37</v>
      </c>
      <c r="I24" s="23">
        <f t="shared" si="6"/>
        <v>5</v>
      </c>
      <c r="J24" s="23">
        <v>20</v>
      </c>
      <c r="K24" s="10">
        <v>20</v>
      </c>
      <c r="L24" s="11">
        <f t="shared" si="2"/>
        <v>120</v>
      </c>
      <c r="M24" s="52">
        <v>2420</v>
      </c>
      <c r="N24" s="52">
        <v>2491</v>
      </c>
      <c r="O24" s="12">
        <f t="shared" si="0"/>
        <v>71</v>
      </c>
      <c r="P24" s="12">
        <v>9</v>
      </c>
      <c r="Q24" s="12">
        <v>20</v>
      </c>
      <c r="R24" s="11">
        <f t="shared" si="4"/>
        <v>659</v>
      </c>
      <c r="S24" s="8"/>
      <c r="T24" s="8"/>
      <c r="U24" s="11">
        <f t="shared" si="5"/>
        <v>3679</v>
      </c>
      <c r="V24" s="24"/>
      <c r="W24" s="28"/>
    </row>
    <row r="25" spans="1:27" s="1" customFormat="1" x14ac:dyDescent="0.4">
      <c r="A25" s="54" t="s">
        <v>33</v>
      </c>
      <c r="B25" s="8">
        <v>3224</v>
      </c>
      <c r="C25" s="1" t="s">
        <v>35</v>
      </c>
      <c r="D25" s="1" t="s">
        <v>34</v>
      </c>
      <c r="E25" s="1" t="s">
        <v>36</v>
      </c>
      <c r="F25" s="9">
        <v>3300</v>
      </c>
      <c r="G25" s="52">
        <v>1461</v>
      </c>
      <c r="H25" s="52">
        <v>1467</v>
      </c>
      <c r="I25" s="23">
        <f t="shared" si="6"/>
        <v>6</v>
      </c>
      <c r="J25" s="23">
        <v>20</v>
      </c>
      <c r="K25" s="10">
        <v>20</v>
      </c>
      <c r="L25" s="11">
        <f t="shared" si="2"/>
        <v>140</v>
      </c>
      <c r="M25" s="52">
        <v>1275</v>
      </c>
      <c r="N25" s="52">
        <v>1318</v>
      </c>
      <c r="O25" s="12">
        <f t="shared" si="0"/>
        <v>43</v>
      </c>
      <c r="P25" s="12">
        <v>9</v>
      </c>
      <c r="Q25" s="12">
        <v>20</v>
      </c>
      <c r="R25" s="11">
        <f t="shared" si="4"/>
        <v>407</v>
      </c>
      <c r="S25" s="8"/>
      <c r="T25" s="8"/>
      <c r="U25" s="11">
        <f t="shared" si="5"/>
        <v>3847</v>
      </c>
      <c r="V25" s="24"/>
      <c r="W25" s="28"/>
      <c r="X25" s="53"/>
    </row>
    <row r="26" spans="1:27" x14ac:dyDescent="0.4">
      <c r="A26" s="54" t="s">
        <v>33</v>
      </c>
      <c r="B26" s="8">
        <v>3225</v>
      </c>
      <c r="C26" s="1" t="s">
        <v>35</v>
      </c>
      <c r="D26" s="1" t="s">
        <v>34</v>
      </c>
      <c r="E26" s="1" t="s">
        <v>36</v>
      </c>
      <c r="F26" s="9">
        <v>2900</v>
      </c>
      <c r="G26" s="52">
        <v>3565</v>
      </c>
      <c r="H26" s="52">
        <v>3568</v>
      </c>
      <c r="I26" s="23">
        <f t="shared" si="6"/>
        <v>3</v>
      </c>
      <c r="J26" s="23">
        <v>20</v>
      </c>
      <c r="K26" s="10">
        <v>20</v>
      </c>
      <c r="L26" s="11">
        <f t="shared" si="2"/>
        <v>120</v>
      </c>
      <c r="M26" s="52">
        <v>2385</v>
      </c>
      <c r="N26" s="52">
        <v>2434</v>
      </c>
      <c r="O26" s="12">
        <f t="shared" si="0"/>
        <v>49</v>
      </c>
      <c r="P26" s="12">
        <v>9</v>
      </c>
      <c r="Q26" s="12">
        <v>20</v>
      </c>
      <c r="R26" s="11">
        <f t="shared" si="4"/>
        <v>461</v>
      </c>
      <c r="S26" s="8"/>
      <c r="T26" s="8"/>
      <c r="U26" s="11">
        <f t="shared" si="5"/>
        <v>3481</v>
      </c>
      <c r="V26" s="1"/>
      <c r="W26" s="28"/>
      <c r="X26" s="1"/>
    </row>
    <row r="27" spans="1:27" s="1" customFormat="1" x14ac:dyDescent="0.4">
      <c r="A27" s="54" t="s">
        <v>33</v>
      </c>
      <c r="B27" s="8">
        <v>3226</v>
      </c>
      <c r="C27" s="1" t="s">
        <v>35</v>
      </c>
      <c r="D27" s="1" t="s">
        <v>34</v>
      </c>
      <c r="E27" s="1" t="s">
        <v>36</v>
      </c>
      <c r="F27" s="9">
        <v>2900</v>
      </c>
      <c r="G27" s="52">
        <v>66</v>
      </c>
      <c r="H27" s="52">
        <v>74</v>
      </c>
      <c r="I27" s="23">
        <f t="shared" si="6"/>
        <v>8</v>
      </c>
      <c r="J27" s="23">
        <v>20</v>
      </c>
      <c r="K27" s="10">
        <v>20</v>
      </c>
      <c r="L27" s="11">
        <f t="shared" si="2"/>
        <v>180</v>
      </c>
      <c r="M27" s="52">
        <v>1765</v>
      </c>
      <c r="N27" s="52">
        <v>1815</v>
      </c>
      <c r="O27" s="12">
        <f t="shared" si="0"/>
        <v>50</v>
      </c>
      <c r="P27" s="12">
        <v>9</v>
      </c>
      <c r="Q27" s="12">
        <v>20</v>
      </c>
      <c r="R27" s="11">
        <f t="shared" si="4"/>
        <v>470</v>
      </c>
      <c r="S27" s="56" t="s">
        <v>29</v>
      </c>
      <c r="T27" s="56"/>
      <c r="U27" s="11">
        <f t="shared" si="5"/>
        <v>3550</v>
      </c>
      <c r="V27" s="24"/>
      <c r="W27" s="28"/>
      <c r="AA27" s="1" t="s">
        <v>32</v>
      </c>
    </row>
    <row r="28" spans="1:27" s="1" customFormat="1" x14ac:dyDescent="0.4">
      <c r="A28" s="54" t="s">
        <v>33</v>
      </c>
      <c r="B28" s="8">
        <v>3227</v>
      </c>
      <c r="C28" s="1" t="s">
        <v>35</v>
      </c>
      <c r="D28" s="1" t="s">
        <v>34</v>
      </c>
      <c r="E28" s="1" t="s">
        <v>36</v>
      </c>
      <c r="F28" s="9">
        <v>2900</v>
      </c>
      <c r="G28" s="52">
        <v>75</v>
      </c>
      <c r="H28" s="52">
        <v>79</v>
      </c>
      <c r="I28" s="23">
        <f t="shared" si="6"/>
        <v>4</v>
      </c>
      <c r="J28" s="23">
        <v>20</v>
      </c>
      <c r="K28" s="10">
        <v>20</v>
      </c>
      <c r="L28" s="11">
        <f t="shared" si="2"/>
        <v>120</v>
      </c>
      <c r="M28" s="52">
        <v>1222</v>
      </c>
      <c r="N28" s="52">
        <v>1248</v>
      </c>
      <c r="O28" s="12">
        <f t="shared" si="0"/>
        <v>26</v>
      </c>
      <c r="P28" s="12">
        <v>9</v>
      </c>
      <c r="Q28" s="12">
        <v>20</v>
      </c>
      <c r="R28" s="11">
        <f t="shared" si="4"/>
        <v>254</v>
      </c>
      <c r="S28" s="56"/>
      <c r="T28" s="56"/>
      <c r="U28" s="11">
        <f t="shared" si="5"/>
        <v>3274</v>
      </c>
      <c r="V28" s="53"/>
      <c r="W28" s="28"/>
    </row>
    <row r="29" spans="1:27" s="1" customFormat="1" x14ac:dyDescent="0.4">
      <c r="A29" s="54" t="s">
        <v>33</v>
      </c>
      <c r="B29" s="8">
        <v>3228</v>
      </c>
      <c r="C29" s="1" t="s">
        <v>35</v>
      </c>
      <c r="D29" s="1" t="s">
        <v>34</v>
      </c>
      <c r="E29" s="1" t="s">
        <v>36</v>
      </c>
      <c r="F29" s="9">
        <v>2900</v>
      </c>
      <c r="G29" s="52">
        <v>54</v>
      </c>
      <c r="H29" s="52">
        <v>64</v>
      </c>
      <c r="I29" s="23">
        <f>H29-G29</f>
        <v>10</v>
      </c>
      <c r="J29" s="23">
        <v>20</v>
      </c>
      <c r="K29" s="10">
        <v>20</v>
      </c>
      <c r="L29" s="11">
        <f t="shared" si="2"/>
        <v>220</v>
      </c>
      <c r="M29" s="52">
        <v>3474</v>
      </c>
      <c r="N29" s="52">
        <v>3578</v>
      </c>
      <c r="O29" s="12">
        <f>N29-M29</f>
        <v>104</v>
      </c>
      <c r="P29" s="12">
        <v>9</v>
      </c>
      <c r="Q29" s="12">
        <v>20</v>
      </c>
      <c r="R29" s="11">
        <f t="shared" si="4"/>
        <v>956</v>
      </c>
      <c r="S29" s="56"/>
      <c r="T29" s="56"/>
      <c r="U29" s="11">
        <f t="shared" si="5"/>
        <v>4076</v>
      </c>
      <c r="V29" s="24"/>
      <c r="W29" s="28"/>
      <c r="X29" s="64"/>
    </row>
    <row r="30" spans="1:27" ht="15.95" customHeight="1" x14ac:dyDescent="0.4">
      <c r="A30" s="54" t="s">
        <v>33</v>
      </c>
      <c r="B30" s="8">
        <v>3229</v>
      </c>
      <c r="C30" s="1" t="s">
        <v>35</v>
      </c>
      <c r="D30" s="1" t="s">
        <v>34</v>
      </c>
      <c r="E30" s="1" t="s">
        <v>36</v>
      </c>
      <c r="F30" s="9">
        <v>2900</v>
      </c>
      <c r="G30" s="52">
        <v>79</v>
      </c>
      <c r="H30" s="52">
        <v>80</v>
      </c>
      <c r="I30" s="23">
        <f t="shared" si="6"/>
        <v>1</v>
      </c>
      <c r="J30" s="23">
        <v>20</v>
      </c>
      <c r="K30" s="10">
        <v>20</v>
      </c>
      <c r="L30" s="11">
        <f t="shared" si="2"/>
        <v>120</v>
      </c>
      <c r="M30" s="52">
        <v>1342</v>
      </c>
      <c r="N30" s="52">
        <v>1369</v>
      </c>
      <c r="O30" s="12">
        <f t="shared" si="0"/>
        <v>27</v>
      </c>
      <c r="P30" s="12">
        <v>9</v>
      </c>
      <c r="Q30" s="12">
        <v>20</v>
      </c>
      <c r="R30" s="11">
        <f t="shared" si="4"/>
        <v>263</v>
      </c>
      <c r="S30" s="56"/>
      <c r="T30" s="56"/>
      <c r="U30" s="11">
        <f t="shared" si="5"/>
        <v>3283</v>
      </c>
      <c r="V30" s="1"/>
      <c r="W30" s="28"/>
      <c r="X30" s="1"/>
    </row>
    <row r="31" spans="1:27" ht="15.95" customHeight="1" x14ac:dyDescent="0.4">
      <c r="A31" s="54" t="s">
        <v>33</v>
      </c>
      <c r="B31" s="8">
        <v>3230</v>
      </c>
      <c r="C31" s="1" t="s">
        <v>35</v>
      </c>
      <c r="D31" s="1" t="s">
        <v>34</v>
      </c>
      <c r="E31" s="1" t="s">
        <v>36</v>
      </c>
      <c r="F31" s="9">
        <v>2900</v>
      </c>
      <c r="G31" s="52">
        <v>631</v>
      </c>
      <c r="H31" s="52">
        <v>631</v>
      </c>
      <c r="I31" s="23">
        <f t="shared" si="6"/>
        <v>0</v>
      </c>
      <c r="J31" s="23">
        <v>20</v>
      </c>
      <c r="K31" s="10">
        <v>20</v>
      </c>
      <c r="L31" s="11">
        <f t="shared" si="2"/>
        <v>120</v>
      </c>
      <c r="M31" s="52">
        <v>6534</v>
      </c>
      <c r="N31" s="52">
        <v>6534</v>
      </c>
      <c r="O31" s="12">
        <f t="shared" si="0"/>
        <v>0</v>
      </c>
      <c r="P31" s="12">
        <v>9</v>
      </c>
      <c r="Q31" s="12">
        <v>20</v>
      </c>
      <c r="R31" s="11">
        <f t="shared" si="4"/>
        <v>65</v>
      </c>
      <c r="S31" s="8"/>
      <c r="T31" s="8"/>
      <c r="U31" s="11">
        <f t="shared" si="5"/>
        <v>3085</v>
      </c>
      <c r="V31" s="1"/>
      <c r="W31" s="28"/>
      <c r="X31" s="1"/>
    </row>
    <row r="32" spans="1:27" s="1" customFormat="1" ht="15.95" customHeight="1" x14ac:dyDescent="0.4">
      <c r="A32" s="54" t="s">
        <v>33</v>
      </c>
      <c r="B32" s="8">
        <v>3231</v>
      </c>
      <c r="C32" s="1" t="s">
        <v>35</v>
      </c>
      <c r="D32" s="1" t="s">
        <v>34</v>
      </c>
      <c r="E32" s="1" t="s">
        <v>36</v>
      </c>
      <c r="F32" s="9">
        <v>2400</v>
      </c>
      <c r="G32" s="52">
        <v>103</v>
      </c>
      <c r="H32" s="52">
        <v>113</v>
      </c>
      <c r="I32" s="23">
        <f t="shared" si="6"/>
        <v>10</v>
      </c>
      <c r="J32" s="23">
        <v>20</v>
      </c>
      <c r="K32" s="10">
        <v>20</v>
      </c>
      <c r="L32" s="11">
        <f t="shared" si="2"/>
        <v>220</v>
      </c>
      <c r="M32" s="52">
        <v>8842</v>
      </c>
      <c r="N32" s="52">
        <v>8923</v>
      </c>
      <c r="O32" s="12">
        <f t="shared" si="0"/>
        <v>81</v>
      </c>
      <c r="P32" s="12">
        <v>9</v>
      </c>
      <c r="Q32" s="12">
        <v>20</v>
      </c>
      <c r="R32" s="11">
        <f t="shared" si="4"/>
        <v>749</v>
      </c>
      <c r="U32" s="11">
        <f t="shared" si="5"/>
        <v>3369</v>
      </c>
      <c r="V32" s="24"/>
      <c r="W32" s="28"/>
    </row>
    <row r="33" spans="1:23" s="1" customFormat="1" ht="15.95" customHeight="1" x14ac:dyDescent="0.4">
      <c r="A33" s="54" t="s">
        <v>33</v>
      </c>
      <c r="B33" s="8">
        <v>3232</v>
      </c>
      <c r="C33" s="1" t="s">
        <v>35</v>
      </c>
      <c r="D33" s="1" t="s">
        <v>34</v>
      </c>
      <c r="E33" s="1" t="s">
        <v>36</v>
      </c>
      <c r="F33" s="9">
        <v>2400</v>
      </c>
      <c r="G33" s="52">
        <v>1581</v>
      </c>
      <c r="H33" s="52">
        <v>1589</v>
      </c>
      <c r="I33" s="23">
        <f t="shared" ref="I33" si="7">H33-G33</f>
        <v>8</v>
      </c>
      <c r="J33" s="23">
        <v>20</v>
      </c>
      <c r="K33" s="10">
        <v>20</v>
      </c>
      <c r="L33" s="11">
        <f t="shared" si="2"/>
        <v>180</v>
      </c>
      <c r="M33" s="52">
        <v>3785</v>
      </c>
      <c r="N33" s="52">
        <v>3818</v>
      </c>
      <c r="O33" s="12">
        <f t="shared" si="0"/>
        <v>33</v>
      </c>
      <c r="P33" s="12">
        <v>9</v>
      </c>
      <c r="Q33" s="12">
        <v>20</v>
      </c>
      <c r="R33" s="11">
        <f t="shared" si="4"/>
        <v>317</v>
      </c>
      <c r="U33" s="11">
        <f t="shared" si="5"/>
        <v>2897</v>
      </c>
      <c r="V33" s="24"/>
      <c r="W33" s="28"/>
    </row>
    <row r="34" spans="1:23" s="21" customFormat="1" x14ac:dyDescent="0.4">
      <c r="A34" s="54"/>
      <c r="B34" s="15"/>
      <c r="C34" s="16"/>
      <c r="D34" s="16"/>
      <c r="E34" s="15"/>
      <c r="F34" s="17"/>
      <c r="G34" s="15"/>
      <c r="H34" s="15"/>
      <c r="I34" s="17"/>
      <c r="J34" s="17"/>
      <c r="K34" s="15"/>
      <c r="L34" s="17"/>
      <c r="M34" s="15"/>
      <c r="N34" s="15"/>
      <c r="O34" s="15"/>
      <c r="P34" s="15"/>
      <c r="Q34" s="15"/>
      <c r="R34" s="17"/>
      <c r="S34" s="17"/>
      <c r="T34" s="17"/>
      <c r="U34" s="17"/>
      <c r="V34" s="60"/>
      <c r="W34" s="28"/>
    </row>
    <row r="35" spans="1:23" x14ac:dyDescent="0.4">
      <c r="J35" s="1"/>
      <c r="P35" s="1"/>
    </row>
  </sheetData>
  <phoneticPr fontId="12" type="noConversion"/>
  <conditionalFormatting sqref="U2:U33">
    <cfRule type="duplicateValues" dxfId="18" priority="4"/>
  </conditionalFormatting>
  <pageMargins left="0" right="0" top="0" bottom="0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35"/>
  <sheetViews>
    <sheetView zoomScale="86" zoomScaleNormal="86" workbookViewId="0">
      <selection sqref="A1:V1"/>
    </sheetView>
  </sheetViews>
  <sheetFormatPr defaultColWidth="6" defaultRowHeight="18" x14ac:dyDescent="0.4"/>
  <cols>
    <col min="1" max="1" width="6" style="48"/>
    <col min="2" max="2" width="4.375" style="3" customWidth="1"/>
    <col min="3" max="3" width="5" style="3" customWidth="1"/>
    <col min="4" max="4" width="7.25" style="3" customWidth="1"/>
    <col min="5" max="5" width="12.125" style="3" customWidth="1"/>
    <col min="6" max="6" width="6" style="3"/>
    <col min="7" max="7" width="5.125" style="3" customWidth="1"/>
    <col min="8" max="8" width="4.625" style="3" customWidth="1"/>
    <col min="9" max="9" width="5.75" style="3" customWidth="1"/>
    <col min="10" max="10" width="9.25" style="3" bestFit="1" customWidth="1"/>
    <col min="11" max="11" width="11.875" style="3" bestFit="1" customWidth="1"/>
    <col min="12" max="12" width="6.75" style="3" customWidth="1"/>
    <col min="13" max="13" width="5.125" style="3" customWidth="1"/>
    <col min="14" max="14" width="5.25" style="3" customWidth="1"/>
    <col min="15" max="15" width="5.375" style="3" customWidth="1"/>
    <col min="16" max="16" width="9.25" style="3" bestFit="1" customWidth="1"/>
    <col min="17" max="17" width="11.875" style="3" bestFit="1" customWidth="1"/>
    <col min="18" max="18" width="7" style="3" customWidth="1"/>
    <col min="19" max="19" width="5.375" style="3" customWidth="1"/>
    <col min="20" max="20" width="4.875" style="3" customWidth="1"/>
    <col min="21" max="21" width="8.25" style="3" customWidth="1"/>
    <col min="22" max="22" width="26.875" style="3" customWidth="1"/>
    <col min="23" max="23" width="2" style="29" customWidth="1"/>
    <col min="24" max="24" width="8" style="3" bestFit="1" customWidth="1"/>
    <col min="25" max="16384" width="6" style="3"/>
  </cols>
  <sheetData>
    <row r="1" spans="1:28" s="22" customFormat="1" x14ac:dyDescent="0.35">
      <c r="A1" s="4" t="s">
        <v>0</v>
      </c>
      <c r="B1" s="5" t="s">
        <v>31</v>
      </c>
      <c r="C1" s="4" t="s">
        <v>26</v>
      </c>
      <c r="D1" s="4" t="s">
        <v>27</v>
      </c>
      <c r="E1" s="4" t="s">
        <v>28</v>
      </c>
      <c r="F1" s="73" t="s">
        <v>1</v>
      </c>
      <c r="G1" s="5" t="s">
        <v>2</v>
      </c>
      <c r="H1" s="5" t="s">
        <v>3</v>
      </c>
      <c r="I1" s="5" t="s">
        <v>4</v>
      </c>
      <c r="J1" s="12" t="s">
        <v>38</v>
      </c>
      <c r="K1" s="6" t="s">
        <v>39</v>
      </c>
      <c r="L1" s="7" t="s">
        <v>41</v>
      </c>
      <c r="M1" s="5" t="s">
        <v>5</v>
      </c>
      <c r="N1" s="5" t="s">
        <v>6</v>
      </c>
      <c r="O1" s="5" t="s">
        <v>7</v>
      </c>
      <c r="P1" s="12" t="s">
        <v>37</v>
      </c>
      <c r="Q1" s="5" t="s">
        <v>40</v>
      </c>
      <c r="R1" s="7" t="s">
        <v>42</v>
      </c>
      <c r="S1" s="4" t="s">
        <v>8</v>
      </c>
      <c r="T1" s="4" t="s">
        <v>9</v>
      </c>
      <c r="U1" s="7" t="s">
        <v>10</v>
      </c>
      <c r="V1" s="4" t="s">
        <v>30</v>
      </c>
      <c r="W1" s="31"/>
      <c r="X1" s="14"/>
      <c r="Y1" s="14"/>
      <c r="Z1" s="14"/>
      <c r="AA1" s="14"/>
      <c r="AB1" s="14"/>
    </row>
    <row r="2" spans="1:28" x14ac:dyDescent="0.4">
      <c r="A2" s="54" t="s">
        <v>33</v>
      </c>
      <c r="B2" s="44">
        <v>3301</v>
      </c>
      <c r="C2" s="1" t="s">
        <v>35</v>
      </c>
      <c r="D2" s="1" t="s">
        <v>34</v>
      </c>
      <c r="E2" s="1" t="s">
        <v>36</v>
      </c>
      <c r="F2" s="62">
        <v>2900</v>
      </c>
      <c r="G2" s="52">
        <v>1</v>
      </c>
      <c r="H2" s="52">
        <v>1</v>
      </c>
      <c r="I2" s="23">
        <f>H2-G2</f>
        <v>0</v>
      </c>
      <c r="J2" s="23">
        <v>20</v>
      </c>
      <c r="K2" s="10">
        <v>20</v>
      </c>
      <c r="L2" s="11">
        <f>IF(F2= " "," ",IF(I2*J2+K2&lt;120,120,I2*J2+K2))</f>
        <v>120</v>
      </c>
      <c r="M2" s="52">
        <v>246</v>
      </c>
      <c r="N2" s="52">
        <v>246</v>
      </c>
      <c r="O2" s="12">
        <f>N2-M2</f>
        <v>0</v>
      </c>
      <c r="P2" s="12">
        <v>9</v>
      </c>
      <c r="Q2" s="12">
        <v>20</v>
      </c>
      <c r="R2" s="11">
        <f>IF(F2=" "," ",IF(O2*P2+Q2&lt;65,65,O2*P2+Q2))</f>
        <v>65</v>
      </c>
      <c r="S2" s="1"/>
      <c r="T2" s="8"/>
      <c r="U2" s="11">
        <f>IF(F2=" ",0,SUM(F2,L2,R2,X2,T2))</f>
        <v>3085</v>
      </c>
      <c r="V2" s="25"/>
      <c r="W2" s="28"/>
      <c r="X2" s="55"/>
      <c r="Y2" s="1"/>
      <c r="Z2" s="1"/>
      <c r="AA2" s="1"/>
      <c r="AB2" s="1"/>
    </row>
    <row r="3" spans="1:28" x14ac:dyDescent="0.4">
      <c r="A3" s="54" t="s">
        <v>33</v>
      </c>
      <c r="B3" s="12">
        <v>3302</v>
      </c>
      <c r="C3" s="1" t="s">
        <v>35</v>
      </c>
      <c r="D3" s="1" t="s">
        <v>34</v>
      </c>
      <c r="E3" s="1" t="s">
        <v>36</v>
      </c>
      <c r="F3" s="18">
        <v>2900</v>
      </c>
      <c r="G3" s="52">
        <v>74</v>
      </c>
      <c r="H3" s="52">
        <v>82</v>
      </c>
      <c r="I3" s="23">
        <f t="shared" ref="I3:I33" si="0">H3-G3</f>
        <v>8</v>
      </c>
      <c r="J3" s="23">
        <v>20</v>
      </c>
      <c r="K3" s="10">
        <v>20</v>
      </c>
      <c r="L3" s="11">
        <f t="shared" ref="L3:L33" si="1">IF(F3= " "," ",IF(I3*J3+K3&lt;120,120,I3*J3+K3))</f>
        <v>180</v>
      </c>
      <c r="M3" s="52">
        <v>1695</v>
      </c>
      <c r="N3" s="52">
        <v>1784</v>
      </c>
      <c r="O3" s="12">
        <f t="shared" ref="O3:O33" si="2">N3-M3</f>
        <v>89</v>
      </c>
      <c r="P3" s="12">
        <v>9</v>
      </c>
      <c r="Q3" s="12">
        <v>20</v>
      </c>
      <c r="R3" s="11">
        <f t="shared" ref="R3:R33" si="3">IF(F3=" "," ",IF(O3*P3+Q3&lt;65,65,O3*P3+Q3))</f>
        <v>821</v>
      </c>
      <c r="S3" s="8"/>
      <c r="T3" s="8"/>
      <c r="U3" s="11">
        <f t="shared" ref="U3:U33" si="4">IF(F3=" ",0,SUM(F3,L3,R3,S3,T3))</f>
        <v>3901</v>
      </c>
      <c r="V3" s="1"/>
      <c r="W3" s="28"/>
      <c r="X3" s="1"/>
      <c r="Y3" s="1"/>
      <c r="Z3" s="1"/>
      <c r="AA3" s="1"/>
      <c r="AB3" s="1"/>
    </row>
    <row r="4" spans="1:28" x14ac:dyDescent="0.4">
      <c r="A4" s="54" t="s">
        <v>33</v>
      </c>
      <c r="B4" s="12">
        <v>3303</v>
      </c>
      <c r="C4" s="1" t="s">
        <v>35</v>
      </c>
      <c r="D4" s="1" t="s">
        <v>34</v>
      </c>
      <c r="E4" s="1" t="s">
        <v>36</v>
      </c>
      <c r="F4" s="9">
        <v>2900</v>
      </c>
      <c r="G4" s="52">
        <v>292</v>
      </c>
      <c r="H4" s="52">
        <v>299</v>
      </c>
      <c r="I4" s="23">
        <f t="shared" si="0"/>
        <v>7</v>
      </c>
      <c r="J4" s="23">
        <v>20</v>
      </c>
      <c r="K4" s="10">
        <v>20</v>
      </c>
      <c r="L4" s="11">
        <f t="shared" si="1"/>
        <v>160</v>
      </c>
      <c r="M4" s="52">
        <v>1509</v>
      </c>
      <c r="N4" s="52">
        <v>1552</v>
      </c>
      <c r="O4" s="12">
        <f t="shared" si="2"/>
        <v>43</v>
      </c>
      <c r="P4" s="12">
        <v>9</v>
      </c>
      <c r="Q4" s="12">
        <v>20</v>
      </c>
      <c r="R4" s="11">
        <f t="shared" si="3"/>
        <v>407</v>
      </c>
      <c r="S4" s="8"/>
      <c r="T4" s="8"/>
      <c r="U4" s="11">
        <f t="shared" si="4"/>
        <v>3467</v>
      </c>
      <c r="V4" s="25"/>
      <c r="W4" s="28"/>
      <c r="X4" s="1"/>
      <c r="Y4" s="1"/>
      <c r="Z4" s="1"/>
      <c r="AA4" s="1"/>
      <c r="AB4" s="1"/>
    </row>
    <row r="5" spans="1:28" x14ac:dyDescent="0.4">
      <c r="A5" s="54" t="s">
        <v>33</v>
      </c>
      <c r="B5" s="12">
        <v>3304</v>
      </c>
      <c r="C5" s="1" t="s">
        <v>35</v>
      </c>
      <c r="D5" s="1" t="s">
        <v>34</v>
      </c>
      <c r="E5" s="1" t="s">
        <v>36</v>
      </c>
      <c r="F5" s="9">
        <v>2900</v>
      </c>
      <c r="G5" s="52">
        <v>79</v>
      </c>
      <c r="H5" s="52">
        <v>86</v>
      </c>
      <c r="I5" s="23">
        <f t="shared" si="0"/>
        <v>7</v>
      </c>
      <c r="J5" s="23">
        <v>20</v>
      </c>
      <c r="K5" s="10">
        <v>20</v>
      </c>
      <c r="L5" s="11">
        <f t="shared" si="1"/>
        <v>160</v>
      </c>
      <c r="M5" s="52">
        <v>2059</v>
      </c>
      <c r="N5" s="52">
        <v>2134</v>
      </c>
      <c r="O5" s="12">
        <f t="shared" si="2"/>
        <v>75</v>
      </c>
      <c r="P5" s="12">
        <v>9</v>
      </c>
      <c r="Q5" s="12">
        <v>20</v>
      </c>
      <c r="R5" s="11">
        <f t="shared" si="3"/>
        <v>695</v>
      </c>
      <c r="S5" s="8"/>
      <c r="T5" s="8"/>
      <c r="U5" s="11">
        <f t="shared" si="4"/>
        <v>3755</v>
      </c>
      <c r="V5" s="25"/>
      <c r="W5" s="28"/>
      <c r="X5" s="16"/>
      <c r="Y5" s="1"/>
      <c r="Z5" s="1"/>
      <c r="AA5" s="1"/>
      <c r="AB5" s="1"/>
    </row>
    <row r="6" spans="1:28" s="1" customFormat="1" x14ac:dyDescent="0.4">
      <c r="A6" s="54" t="s">
        <v>33</v>
      </c>
      <c r="B6" s="12">
        <v>3305</v>
      </c>
      <c r="C6" s="1" t="s">
        <v>35</v>
      </c>
      <c r="D6" s="1" t="s">
        <v>34</v>
      </c>
      <c r="E6" s="1" t="s">
        <v>36</v>
      </c>
      <c r="F6" s="9">
        <v>2900</v>
      </c>
      <c r="G6" s="52">
        <v>53</v>
      </c>
      <c r="H6" s="52">
        <v>63</v>
      </c>
      <c r="I6" s="23">
        <f t="shared" si="0"/>
        <v>10</v>
      </c>
      <c r="J6" s="23">
        <v>20</v>
      </c>
      <c r="K6" s="10">
        <v>20</v>
      </c>
      <c r="L6" s="11">
        <f t="shared" si="1"/>
        <v>220</v>
      </c>
      <c r="M6" s="52">
        <v>1282</v>
      </c>
      <c r="N6" s="52">
        <v>1396</v>
      </c>
      <c r="O6" s="12">
        <f t="shared" si="2"/>
        <v>114</v>
      </c>
      <c r="P6" s="12">
        <v>9</v>
      </c>
      <c r="Q6" s="12">
        <v>20</v>
      </c>
      <c r="R6" s="11">
        <f t="shared" si="3"/>
        <v>1046</v>
      </c>
      <c r="S6" s="8"/>
      <c r="T6" s="8"/>
      <c r="U6" s="11">
        <f t="shared" si="4"/>
        <v>4166</v>
      </c>
      <c r="V6" s="25"/>
      <c r="W6" s="28"/>
    </row>
    <row r="7" spans="1:28" x14ac:dyDescent="0.4">
      <c r="A7" s="54" t="s">
        <v>33</v>
      </c>
      <c r="B7" s="12">
        <v>3306</v>
      </c>
      <c r="C7" s="1" t="s">
        <v>35</v>
      </c>
      <c r="D7" s="1" t="s">
        <v>34</v>
      </c>
      <c r="E7" s="1" t="s">
        <v>36</v>
      </c>
      <c r="F7" s="18">
        <v>2900</v>
      </c>
      <c r="G7" s="52">
        <v>2619</v>
      </c>
      <c r="H7" s="52">
        <v>2642</v>
      </c>
      <c r="I7" s="23">
        <f t="shared" si="0"/>
        <v>23</v>
      </c>
      <c r="J7" s="23">
        <v>20</v>
      </c>
      <c r="K7" s="10">
        <v>20</v>
      </c>
      <c r="L7" s="11">
        <f t="shared" si="1"/>
        <v>480</v>
      </c>
      <c r="M7" s="52">
        <v>2013</v>
      </c>
      <c r="N7" s="52">
        <v>2191</v>
      </c>
      <c r="O7" s="12">
        <f t="shared" si="2"/>
        <v>178</v>
      </c>
      <c r="P7" s="12">
        <v>9</v>
      </c>
      <c r="Q7" s="12">
        <v>20</v>
      </c>
      <c r="R7" s="11">
        <f t="shared" si="3"/>
        <v>1622</v>
      </c>
      <c r="S7" s="8"/>
      <c r="T7" s="8"/>
      <c r="U7" s="11">
        <f t="shared" si="4"/>
        <v>5002</v>
      </c>
      <c r="V7" s="24"/>
      <c r="W7" s="28"/>
      <c r="X7" s="1"/>
      <c r="Y7" s="1"/>
      <c r="Z7" s="1"/>
      <c r="AA7" s="1"/>
      <c r="AB7" s="1"/>
    </row>
    <row r="8" spans="1:28" x14ac:dyDescent="0.4">
      <c r="A8" s="54" t="s">
        <v>33</v>
      </c>
      <c r="B8" s="12">
        <v>3307</v>
      </c>
      <c r="C8" s="1" t="s">
        <v>35</v>
      </c>
      <c r="D8" s="1" t="s">
        <v>34</v>
      </c>
      <c r="E8" s="1" t="s">
        <v>36</v>
      </c>
      <c r="F8" s="9">
        <v>2900</v>
      </c>
      <c r="G8" s="52">
        <v>17</v>
      </c>
      <c r="H8" s="52">
        <v>19</v>
      </c>
      <c r="I8" s="23">
        <f t="shared" si="0"/>
        <v>2</v>
      </c>
      <c r="J8" s="23">
        <v>20</v>
      </c>
      <c r="K8" s="10">
        <v>20</v>
      </c>
      <c r="L8" s="11">
        <f t="shared" si="1"/>
        <v>120</v>
      </c>
      <c r="M8" s="52">
        <v>323</v>
      </c>
      <c r="N8" s="52">
        <v>369</v>
      </c>
      <c r="O8" s="12">
        <f t="shared" si="2"/>
        <v>46</v>
      </c>
      <c r="P8" s="12">
        <v>9</v>
      </c>
      <c r="Q8" s="12">
        <v>20</v>
      </c>
      <c r="R8" s="11">
        <f t="shared" si="3"/>
        <v>434</v>
      </c>
      <c r="S8" s="8"/>
      <c r="T8" s="8"/>
      <c r="U8" s="11">
        <f t="shared" si="4"/>
        <v>3454</v>
      </c>
      <c r="V8" s="1"/>
      <c r="W8" s="28"/>
      <c r="X8" s="1"/>
      <c r="Y8" s="1"/>
      <c r="Z8" s="1"/>
      <c r="AA8" s="1"/>
      <c r="AB8" s="1"/>
    </row>
    <row r="9" spans="1:28" s="1" customFormat="1" x14ac:dyDescent="0.4">
      <c r="A9" s="54" t="s">
        <v>33</v>
      </c>
      <c r="B9" s="12">
        <v>3308</v>
      </c>
      <c r="C9" s="1" t="s">
        <v>35</v>
      </c>
      <c r="D9" s="1" t="s">
        <v>34</v>
      </c>
      <c r="E9" s="1" t="s">
        <v>36</v>
      </c>
      <c r="F9" s="18">
        <v>2900</v>
      </c>
      <c r="G9" s="52">
        <v>40</v>
      </c>
      <c r="H9" s="52">
        <v>43</v>
      </c>
      <c r="I9" s="23">
        <f t="shared" si="0"/>
        <v>3</v>
      </c>
      <c r="J9" s="23">
        <v>20</v>
      </c>
      <c r="K9" s="10">
        <v>20</v>
      </c>
      <c r="L9" s="11">
        <f t="shared" si="1"/>
        <v>120</v>
      </c>
      <c r="M9" s="52">
        <v>779</v>
      </c>
      <c r="N9" s="52">
        <v>801</v>
      </c>
      <c r="O9" s="12">
        <f t="shared" si="2"/>
        <v>22</v>
      </c>
      <c r="P9" s="12">
        <v>9</v>
      </c>
      <c r="Q9" s="12">
        <v>20</v>
      </c>
      <c r="R9" s="11">
        <f t="shared" si="3"/>
        <v>218</v>
      </c>
      <c r="S9" s="8"/>
      <c r="T9" s="8"/>
      <c r="U9" s="11">
        <f t="shared" si="4"/>
        <v>3238</v>
      </c>
      <c r="V9" s="24"/>
      <c r="W9" s="28"/>
    </row>
    <row r="10" spans="1:28" x14ac:dyDescent="0.4">
      <c r="A10" s="54" t="s">
        <v>33</v>
      </c>
      <c r="B10" s="12">
        <v>3309</v>
      </c>
      <c r="C10" s="1" t="s">
        <v>35</v>
      </c>
      <c r="D10" s="1" t="s">
        <v>34</v>
      </c>
      <c r="E10" s="1" t="s">
        <v>36</v>
      </c>
      <c r="F10" s="9">
        <v>2900</v>
      </c>
      <c r="G10" s="52">
        <v>1970</v>
      </c>
      <c r="H10" s="52">
        <v>1981</v>
      </c>
      <c r="I10" s="23">
        <f t="shared" si="0"/>
        <v>11</v>
      </c>
      <c r="J10" s="23">
        <v>20</v>
      </c>
      <c r="K10" s="10">
        <v>20</v>
      </c>
      <c r="L10" s="11">
        <f t="shared" si="1"/>
        <v>240</v>
      </c>
      <c r="M10" s="52">
        <v>1376</v>
      </c>
      <c r="N10" s="52">
        <v>1410</v>
      </c>
      <c r="O10" s="12">
        <f t="shared" si="2"/>
        <v>34</v>
      </c>
      <c r="P10" s="12">
        <v>9</v>
      </c>
      <c r="Q10" s="12">
        <v>20</v>
      </c>
      <c r="R10" s="11">
        <f t="shared" si="3"/>
        <v>326</v>
      </c>
      <c r="S10" s="8"/>
      <c r="T10" s="8"/>
      <c r="U10" s="11">
        <f t="shared" si="4"/>
        <v>3466</v>
      </c>
      <c r="V10" s="25"/>
      <c r="W10" s="28"/>
      <c r="X10" s="1"/>
      <c r="Y10" s="1"/>
      <c r="Z10" s="1"/>
      <c r="AA10" s="1"/>
      <c r="AB10" s="1"/>
    </row>
    <row r="11" spans="1:28" x14ac:dyDescent="0.4">
      <c r="A11" s="54" t="s">
        <v>33</v>
      </c>
      <c r="B11" s="12">
        <v>3310</v>
      </c>
      <c r="C11" s="1" t="s">
        <v>35</v>
      </c>
      <c r="D11" s="1" t="s">
        <v>34</v>
      </c>
      <c r="E11" s="1" t="s">
        <v>36</v>
      </c>
      <c r="F11" s="18">
        <v>2900</v>
      </c>
      <c r="G11" s="52">
        <v>55</v>
      </c>
      <c r="H11" s="52">
        <v>62</v>
      </c>
      <c r="I11" s="23">
        <f t="shared" si="0"/>
        <v>7</v>
      </c>
      <c r="J11" s="23">
        <v>20</v>
      </c>
      <c r="K11" s="10">
        <v>20</v>
      </c>
      <c r="L11" s="11">
        <f t="shared" si="1"/>
        <v>160</v>
      </c>
      <c r="M11" s="52">
        <v>1790</v>
      </c>
      <c r="N11" s="52">
        <v>1864</v>
      </c>
      <c r="O11" s="12">
        <f t="shared" si="2"/>
        <v>74</v>
      </c>
      <c r="P11" s="12">
        <v>9</v>
      </c>
      <c r="Q11" s="12">
        <v>20</v>
      </c>
      <c r="R11" s="11">
        <f t="shared" si="3"/>
        <v>686</v>
      </c>
      <c r="S11" s="8"/>
      <c r="T11" s="8"/>
      <c r="U11" s="11">
        <f t="shared" si="4"/>
        <v>3746</v>
      </c>
      <c r="V11" s="1"/>
      <c r="W11" s="28"/>
      <c r="X11" s="1"/>
      <c r="Y11" s="1"/>
      <c r="Z11" s="1"/>
      <c r="AA11" s="1"/>
      <c r="AB11" s="1"/>
    </row>
    <row r="12" spans="1:28" x14ac:dyDescent="0.4">
      <c r="A12" s="54" t="s">
        <v>33</v>
      </c>
      <c r="B12" s="12">
        <v>3311</v>
      </c>
      <c r="C12" s="1" t="s">
        <v>35</v>
      </c>
      <c r="D12" s="1" t="s">
        <v>34</v>
      </c>
      <c r="E12" s="1" t="s">
        <v>36</v>
      </c>
      <c r="F12" s="18">
        <v>2900</v>
      </c>
      <c r="G12" s="52">
        <v>75</v>
      </c>
      <c r="H12" s="52">
        <v>81</v>
      </c>
      <c r="I12" s="23">
        <f t="shared" si="0"/>
        <v>6</v>
      </c>
      <c r="J12" s="23">
        <v>20</v>
      </c>
      <c r="K12" s="10">
        <v>20</v>
      </c>
      <c r="L12" s="11">
        <f t="shared" si="1"/>
        <v>140</v>
      </c>
      <c r="M12" s="52">
        <v>1184</v>
      </c>
      <c r="N12" s="52">
        <v>1227</v>
      </c>
      <c r="O12" s="12">
        <f t="shared" si="2"/>
        <v>43</v>
      </c>
      <c r="P12" s="12">
        <v>9</v>
      </c>
      <c r="Q12" s="12">
        <v>20</v>
      </c>
      <c r="R12" s="11">
        <f t="shared" si="3"/>
        <v>407</v>
      </c>
      <c r="S12" s="8"/>
      <c r="T12" s="8"/>
      <c r="U12" s="11">
        <f t="shared" si="4"/>
        <v>3447</v>
      </c>
      <c r="V12" s="1"/>
      <c r="W12" s="28"/>
      <c r="X12" s="1"/>
      <c r="Y12" s="1"/>
      <c r="Z12" s="1"/>
      <c r="AA12" s="1"/>
      <c r="AB12" s="1"/>
    </row>
    <row r="13" spans="1:28" x14ac:dyDescent="0.4">
      <c r="A13" s="54" t="s">
        <v>33</v>
      </c>
      <c r="B13" s="12">
        <v>3312</v>
      </c>
      <c r="C13" s="1" t="s">
        <v>35</v>
      </c>
      <c r="D13" s="1" t="s">
        <v>34</v>
      </c>
      <c r="E13" s="1" t="s">
        <v>36</v>
      </c>
      <c r="F13" s="18">
        <v>2900</v>
      </c>
      <c r="G13" s="52">
        <v>2554</v>
      </c>
      <c r="H13" s="52">
        <v>2579</v>
      </c>
      <c r="I13" s="23">
        <f t="shared" si="0"/>
        <v>25</v>
      </c>
      <c r="J13" s="23">
        <v>20</v>
      </c>
      <c r="K13" s="10">
        <v>20</v>
      </c>
      <c r="L13" s="11">
        <f t="shared" si="1"/>
        <v>520</v>
      </c>
      <c r="M13" s="52">
        <v>1819</v>
      </c>
      <c r="N13" s="52">
        <v>1893</v>
      </c>
      <c r="O13" s="12">
        <f t="shared" si="2"/>
        <v>74</v>
      </c>
      <c r="P13" s="12">
        <v>9</v>
      </c>
      <c r="Q13" s="12">
        <v>20</v>
      </c>
      <c r="R13" s="11">
        <f t="shared" si="3"/>
        <v>686</v>
      </c>
      <c r="S13" s="8" t="s">
        <v>29</v>
      </c>
      <c r="T13" s="8"/>
      <c r="U13" s="11">
        <f t="shared" si="4"/>
        <v>4106</v>
      </c>
      <c r="V13" s="1"/>
      <c r="W13" s="28"/>
      <c r="X13" s="1"/>
      <c r="Y13" s="1"/>
      <c r="Z13" s="1"/>
      <c r="AA13" s="1"/>
      <c r="AB13" s="1"/>
    </row>
    <row r="14" spans="1:28" s="1" customFormat="1" x14ac:dyDescent="0.4">
      <c r="A14" s="54" t="s">
        <v>33</v>
      </c>
      <c r="B14" s="12">
        <v>3313</v>
      </c>
      <c r="C14" s="1" t="s">
        <v>35</v>
      </c>
      <c r="D14" s="1" t="s">
        <v>34</v>
      </c>
      <c r="E14" s="1" t="s">
        <v>36</v>
      </c>
      <c r="F14" s="9">
        <v>2900</v>
      </c>
      <c r="G14" s="52">
        <v>58</v>
      </c>
      <c r="H14" s="52">
        <v>63</v>
      </c>
      <c r="I14" s="23">
        <f t="shared" si="0"/>
        <v>5</v>
      </c>
      <c r="J14" s="23">
        <v>20</v>
      </c>
      <c r="K14" s="10">
        <v>20</v>
      </c>
      <c r="L14" s="11">
        <f t="shared" si="1"/>
        <v>120</v>
      </c>
      <c r="M14" s="52">
        <v>2556</v>
      </c>
      <c r="N14" s="52">
        <v>2666</v>
      </c>
      <c r="O14" s="12">
        <f t="shared" si="2"/>
        <v>110</v>
      </c>
      <c r="P14" s="12">
        <v>9</v>
      </c>
      <c r="Q14" s="12">
        <v>20</v>
      </c>
      <c r="R14" s="11">
        <f t="shared" si="3"/>
        <v>1010</v>
      </c>
      <c r="S14" s="8"/>
      <c r="T14" s="8"/>
      <c r="U14" s="11">
        <f t="shared" si="4"/>
        <v>4030</v>
      </c>
      <c r="V14" s="25"/>
      <c r="W14" s="28"/>
      <c r="X14" s="16"/>
    </row>
    <row r="15" spans="1:28" s="22" customFormat="1" x14ac:dyDescent="0.35">
      <c r="A15" s="54" t="s">
        <v>33</v>
      </c>
      <c r="B15" s="5">
        <v>3314</v>
      </c>
      <c r="C15" s="1" t="s">
        <v>35</v>
      </c>
      <c r="D15" s="1" t="s">
        <v>34</v>
      </c>
      <c r="E15" s="1" t="s">
        <v>36</v>
      </c>
      <c r="F15" s="18">
        <v>2900</v>
      </c>
      <c r="G15" s="52">
        <v>81</v>
      </c>
      <c r="H15" s="52">
        <v>87</v>
      </c>
      <c r="I15" s="23">
        <f t="shared" si="0"/>
        <v>6</v>
      </c>
      <c r="J15" s="23">
        <v>20</v>
      </c>
      <c r="K15" s="10">
        <v>20</v>
      </c>
      <c r="L15" s="11">
        <f t="shared" si="1"/>
        <v>140</v>
      </c>
      <c r="M15" s="52">
        <v>1607</v>
      </c>
      <c r="N15" s="52">
        <v>1667</v>
      </c>
      <c r="O15" s="12">
        <f t="shared" si="2"/>
        <v>60</v>
      </c>
      <c r="P15" s="12">
        <v>9</v>
      </c>
      <c r="Q15" s="12">
        <v>20</v>
      </c>
      <c r="R15" s="11">
        <f t="shared" si="3"/>
        <v>560</v>
      </c>
      <c r="S15" s="4"/>
      <c r="T15" s="4"/>
      <c r="U15" s="7">
        <f t="shared" si="4"/>
        <v>3600</v>
      </c>
      <c r="V15" s="14"/>
      <c r="W15" s="31"/>
      <c r="X15" s="14"/>
      <c r="Y15" s="14"/>
      <c r="Z15" s="14"/>
      <c r="AA15" s="14"/>
      <c r="AB15" s="14"/>
    </row>
    <row r="16" spans="1:28" x14ac:dyDescent="0.4">
      <c r="A16" s="54" t="s">
        <v>33</v>
      </c>
      <c r="B16" s="12">
        <v>3315</v>
      </c>
      <c r="C16" s="1" t="s">
        <v>35</v>
      </c>
      <c r="D16" s="1" t="s">
        <v>34</v>
      </c>
      <c r="E16" s="1" t="s">
        <v>36</v>
      </c>
      <c r="F16" s="9">
        <v>2900</v>
      </c>
      <c r="G16" s="52">
        <v>59</v>
      </c>
      <c r="H16" s="52">
        <v>64</v>
      </c>
      <c r="I16" s="23">
        <f t="shared" si="0"/>
        <v>5</v>
      </c>
      <c r="J16" s="23">
        <v>20</v>
      </c>
      <c r="K16" s="10">
        <v>20</v>
      </c>
      <c r="L16" s="11">
        <f t="shared" si="1"/>
        <v>120</v>
      </c>
      <c r="M16" s="52">
        <v>1964</v>
      </c>
      <c r="N16" s="52">
        <v>2039</v>
      </c>
      <c r="O16" s="12">
        <f t="shared" si="2"/>
        <v>75</v>
      </c>
      <c r="P16" s="12">
        <v>9</v>
      </c>
      <c r="Q16" s="12">
        <v>20</v>
      </c>
      <c r="R16" s="11">
        <f t="shared" si="3"/>
        <v>695</v>
      </c>
      <c r="S16" s="8"/>
      <c r="T16" s="8"/>
      <c r="U16" s="7">
        <f t="shared" si="4"/>
        <v>3715</v>
      </c>
      <c r="V16" s="25"/>
      <c r="W16" s="28"/>
      <c r="X16" s="1"/>
      <c r="Y16" s="1"/>
      <c r="Z16" s="1"/>
      <c r="AA16" s="1"/>
      <c r="AB16" s="1"/>
    </row>
    <row r="17" spans="1:28" x14ac:dyDescent="0.4">
      <c r="A17" s="54" t="s">
        <v>33</v>
      </c>
      <c r="B17" s="12">
        <v>3316</v>
      </c>
      <c r="C17" s="1" t="s">
        <v>35</v>
      </c>
      <c r="D17" s="1" t="s">
        <v>34</v>
      </c>
      <c r="E17" s="1" t="s">
        <v>36</v>
      </c>
      <c r="F17" s="18">
        <v>2200</v>
      </c>
      <c r="G17" s="52">
        <v>611</v>
      </c>
      <c r="H17" s="52">
        <v>614</v>
      </c>
      <c r="I17" s="23">
        <f t="shared" si="0"/>
        <v>3</v>
      </c>
      <c r="J17" s="23">
        <v>20</v>
      </c>
      <c r="K17" s="10">
        <v>20</v>
      </c>
      <c r="L17" s="11">
        <f t="shared" si="1"/>
        <v>120</v>
      </c>
      <c r="M17" s="52">
        <v>1490</v>
      </c>
      <c r="N17" s="52">
        <v>1553</v>
      </c>
      <c r="O17" s="12">
        <f t="shared" si="2"/>
        <v>63</v>
      </c>
      <c r="P17" s="12">
        <v>9</v>
      </c>
      <c r="Q17" s="12">
        <v>20</v>
      </c>
      <c r="R17" s="11">
        <f t="shared" si="3"/>
        <v>587</v>
      </c>
      <c r="S17" s="8"/>
      <c r="T17" s="8"/>
      <c r="U17" s="11">
        <f t="shared" si="4"/>
        <v>2907</v>
      </c>
      <c r="V17" s="1"/>
      <c r="W17" s="28"/>
      <c r="X17" s="1"/>
      <c r="Y17" s="1"/>
      <c r="Z17" s="1"/>
      <c r="AA17" s="1"/>
      <c r="AB17" s="1"/>
    </row>
    <row r="18" spans="1:28" s="14" customFormat="1" x14ac:dyDescent="0.4">
      <c r="A18" s="54" t="s">
        <v>33</v>
      </c>
      <c r="B18" s="5">
        <v>3317</v>
      </c>
      <c r="C18" s="1" t="s">
        <v>35</v>
      </c>
      <c r="D18" s="1" t="s">
        <v>34</v>
      </c>
      <c r="E18" s="1" t="s">
        <v>36</v>
      </c>
      <c r="F18" s="9">
        <v>2900</v>
      </c>
      <c r="G18" s="52">
        <v>1201</v>
      </c>
      <c r="H18" s="52">
        <v>1201</v>
      </c>
      <c r="I18" s="23">
        <f t="shared" si="0"/>
        <v>0</v>
      </c>
      <c r="J18" s="23">
        <v>20</v>
      </c>
      <c r="K18" s="6">
        <v>20</v>
      </c>
      <c r="L18" s="11">
        <f t="shared" si="1"/>
        <v>120</v>
      </c>
      <c r="M18" s="52">
        <v>2897</v>
      </c>
      <c r="N18" s="52">
        <v>2897</v>
      </c>
      <c r="O18" s="12">
        <f t="shared" si="2"/>
        <v>0</v>
      </c>
      <c r="P18" s="12">
        <v>9</v>
      </c>
      <c r="Q18" s="5">
        <v>20</v>
      </c>
      <c r="R18" s="11">
        <f t="shared" si="3"/>
        <v>65</v>
      </c>
      <c r="S18" s="4"/>
      <c r="T18" s="4"/>
      <c r="U18" s="11">
        <f t="shared" si="4"/>
        <v>3085</v>
      </c>
      <c r="V18" s="25"/>
      <c r="W18" s="28"/>
    </row>
    <row r="19" spans="1:28" x14ac:dyDescent="0.4">
      <c r="A19" s="54" t="s">
        <v>33</v>
      </c>
      <c r="B19" s="12">
        <v>3318</v>
      </c>
      <c r="C19" s="1" t="s">
        <v>35</v>
      </c>
      <c r="D19" s="1" t="s">
        <v>34</v>
      </c>
      <c r="E19" s="1" t="s">
        <v>36</v>
      </c>
      <c r="F19" s="18">
        <v>2900</v>
      </c>
      <c r="G19" s="52">
        <v>1487</v>
      </c>
      <c r="H19" s="52">
        <v>1493</v>
      </c>
      <c r="I19" s="23">
        <f t="shared" si="0"/>
        <v>6</v>
      </c>
      <c r="J19" s="23">
        <v>20</v>
      </c>
      <c r="K19" s="10">
        <v>20</v>
      </c>
      <c r="L19" s="11">
        <f t="shared" si="1"/>
        <v>140</v>
      </c>
      <c r="M19" s="52">
        <v>1036</v>
      </c>
      <c r="N19" s="52">
        <v>1083</v>
      </c>
      <c r="O19" s="12">
        <f t="shared" si="2"/>
        <v>47</v>
      </c>
      <c r="P19" s="12">
        <v>9</v>
      </c>
      <c r="Q19" s="12">
        <v>20</v>
      </c>
      <c r="R19" s="11">
        <f t="shared" si="3"/>
        <v>443</v>
      </c>
      <c r="S19" s="8"/>
      <c r="T19" s="8"/>
      <c r="U19" s="11">
        <f t="shared" si="4"/>
        <v>3483</v>
      </c>
      <c r="V19" s="1"/>
      <c r="W19" s="28"/>
      <c r="X19" s="1"/>
      <c r="Y19" s="1"/>
      <c r="Z19" s="1"/>
      <c r="AA19" s="1"/>
      <c r="AB19" s="1"/>
    </row>
    <row r="20" spans="1:28" s="1" customFormat="1" x14ac:dyDescent="0.4">
      <c r="A20" s="54" t="s">
        <v>33</v>
      </c>
      <c r="B20" s="12">
        <v>3319</v>
      </c>
      <c r="C20" s="1" t="s">
        <v>35</v>
      </c>
      <c r="D20" s="1" t="s">
        <v>34</v>
      </c>
      <c r="E20" s="1" t="s">
        <v>36</v>
      </c>
      <c r="F20" s="9">
        <v>2900</v>
      </c>
      <c r="G20" s="52">
        <v>67</v>
      </c>
      <c r="H20" s="52">
        <v>68</v>
      </c>
      <c r="I20" s="23">
        <f t="shared" si="0"/>
        <v>1</v>
      </c>
      <c r="J20" s="23">
        <v>20</v>
      </c>
      <c r="K20" s="10">
        <v>20</v>
      </c>
      <c r="L20" s="11">
        <f t="shared" si="1"/>
        <v>120</v>
      </c>
      <c r="M20" s="52">
        <v>767</v>
      </c>
      <c r="N20" s="52">
        <v>767</v>
      </c>
      <c r="O20" s="12">
        <f t="shared" si="2"/>
        <v>0</v>
      </c>
      <c r="P20" s="12">
        <v>9</v>
      </c>
      <c r="Q20" s="12">
        <v>20</v>
      </c>
      <c r="R20" s="11">
        <f t="shared" si="3"/>
        <v>65</v>
      </c>
      <c r="S20" s="8" t="s">
        <v>29</v>
      </c>
      <c r="T20" s="8"/>
      <c r="U20" s="11">
        <f t="shared" si="4"/>
        <v>3085</v>
      </c>
      <c r="V20" s="25"/>
      <c r="W20" s="28"/>
    </row>
    <row r="21" spans="1:28" s="22" customFormat="1" x14ac:dyDescent="0.35">
      <c r="A21" s="54" t="s">
        <v>33</v>
      </c>
      <c r="B21" s="5">
        <v>3320</v>
      </c>
      <c r="C21" s="1" t="s">
        <v>35</v>
      </c>
      <c r="D21" s="1" t="s">
        <v>34</v>
      </c>
      <c r="E21" s="1" t="s">
        <v>36</v>
      </c>
      <c r="F21" s="18">
        <v>2900</v>
      </c>
      <c r="G21" s="52">
        <v>1879</v>
      </c>
      <c r="H21" s="52">
        <v>1887</v>
      </c>
      <c r="I21" s="23">
        <f t="shared" si="0"/>
        <v>8</v>
      </c>
      <c r="J21" s="23">
        <v>20</v>
      </c>
      <c r="K21" s="10">
        <v>20</v>
      </c>
      <c r="L21" s="11">
        <f t="shared" si="1"/>
        <v>180</v>
      </c>
      <c r="M21" s="52">
        <v>850</v>
      </c>
      <c r="N21" s="52">
        <v>899</v>
      </c>
      <c r="O21" s="12">
        <f t="shared" si="2"/>
        <v>49</v>
      </c>
      <c r="P21" s="12">
        <v>9</v>
      </c>
      <c r="Q21" s="12">
        <v>20</v>
      </c>
      <c r="R21" s="11">
        <f t="shared" si="3"/>
        <v>461</v>
      </c>
      <c r="S21" s="4"/>
      <c r="T21" s="4"/>
      <c r="U21" s="7">
        <f t="shared" si="4"/>
        <v>3541</v>
      </c>
      <c r="V21" s="14"/>
      <c r="W21" s="31"/>
      <c r="X21" s="14"/>
      <c r="Y21" s="14"/>
      <c r="Z21" s="14"/>
      <c r="AA21" s="14"/>
      <c r="AB21" s="14"/>
    </row>
    <row r="22" spans="1:28" x14ac:dyDescent="0.4">
      <c r="A22" s="54" t="s">
        <v>33</v>
      </c>
      <c r="B22" s="12">
        <v>3321</v>
      </c>
      <c r="C22" s="1" t="s">
        <v>35</v>
      </c>
      <c r="D22" s="1" t="s">
        <v>34</v>
      </c>
      <c r="E22" s="1" t="s">
        <v>36</v>
      </c>
      <c r="F22" s="9">
        <v>2900</v>
      </c>
      <c r="G22" s="52">
        <v>84</v>
      </c>
      <c r="H22" s="52">
        <v>98</v>
      </c>
      <c r="I22" s="23">
        <f t="shared" si="0"/>
        <v>14</v>
      </c>
      <c r="J22" s="23">
        <v>20</v>
      </c>
      <c r="K22" s="10">
        <v>20</v>
      </c>
      <c r="L22" s="11">
        <f t="shared" si="1"/>
        <v>300</v>
      </c>
      <c r="M22" s="52">
        <v>2182</v>
      </c>
      <c r="N22" s="52">
        <v>2292</v>
      </c>
      <c r="O22" s="12">
        <f t="shared" si="2"/>
        <v>110</v>
      </c>
      <c r="P22" s="12">
        <v>9</v>
      </c>
      <c r="Q22" s="12">
        <v>20</v>
      </c>
      <c r="R22" s="11">
        <f t="shared" si="3"/>
        <v>1010</v>
      </c>
      <c r="S22" s="8"/>
      <c r="T22" s="8"/>
      <c r="U22" s="7">
        <f t="shared" si="4"/>
        <v>4210</v>
      </c>
      <c r="V22" s="1"/>
      <c r="W22" s="28"/>
      <c r="X22" s="1"/>
      <c r="Y22" s="1"/>
      <c r="Z22" s="1"/>
      <c r="AA22" s="1"/>
      <c r="AB22" s="1"/>
    </row>
    <row r="23" spans="1:28" s="1" customFormat="1" x14ac:dyDescent="0.4">
      <c r="A23" s="54" t="s">
        <v>33</v>
      </c>
      <c r="B23" s="12">
        <v>3322</v>
      </c>
      <c r="C23" s="1" t="s">
        <v>35</v>
      </c>
      <c r="D23" s="1" t="s">
        <v>34</v>
      </c>
      <c r="E23" s="1" t="s">
        <v>36</v>
      </c>
      <c r="F23" s="18">
        <v>2900</v>
      </c>
      <c r="G23" s="52">
        <v>2669</v>
      </c>
      <c r="H23" s="52">
        <v>2676</v>
      </c>
      <c r="I23" s="23">
        <f t="shared" si="0"/>
        <v>7</v>
      </c>
      <c r="J23" s="23">
        <v>20</v>
      </c>
      <c r="K23" s="10">
        <v>20</v>
      </c>
      <c r="L23" s="11">
        <f t="shared" si="1"/>
        <v>160</v>
      </c>
      <c r="M23" s="52">
        <v>4196</v>
      </c>
      <c r="N23" s="52">
        <v>4301</v>
      </c>
      <c r="O23" s="12">
        <f t="shared" si="2"/>
        <v>105</v>
      </c>
      <c r="P23" s="12">
        <v>9</v>
      </c>
      <c r="Q23" s="12">
        <v>20</v>
      </c>
      <c r="R23" s="11">
        <f t="shared" si="3"/>
        <v>965</v>
      </c>
      <c r="S23" s="8"/>
      <c r="T23" s="8"/>
      <c r="U23" s="7">
        <f t="shared" si="4"/>
        <v>4025</v>
      </c>
      <c r="V23" s="24"/>
      <c r="W23" s="28"/>
      <c r="X23" s="64"/>
    </row>
    <row r="24" spans="1:28" x14ac:dyDescent="0.4">
      <c r="A24" s="54" t="s">
        <v>33</v>
      </c>
      <c r="B24" s="12">
        <v>3323</v>
      </c>
      <c r="C24" s="1" t="s">
        <v>35</v>
      </c>
      <c r="D24" s="1" t="s">
        <v>34</v>
      </c>
      <c r="E24" s="1" t="s">
        <v>36</v>
      </c>
      <c r="F24" s="9">
        <v>2900</v>
      </c>
      <c r="G24" s="52">
        <v>53</v>
      </c>
      <c r="H24" s="52">
        <v>58</v>
      </c>
      <c r="I24" s="23">
        <f t="shared" si="0"/>
        <v>5</v>
      </c>
      <c r="J24" s="23">
        <v>20</v>
      </c>
      <c r="K24" s="10">
        <v>20</v>
      </c>
      <c r="L24" s="11">
        <f t="shared" si="1"/>
        <v>120</v>
      </c>
      <c r="M24" s="52">
        <v>2140</v>
      </c>
      <c r="N24" s="52">
        <v>2216</v>
      </c>
      <c r="O24" s="12">
        <f t="shared" si="2"/>
        <v>76</v>
      </c>
      <c r="P24" s="12">
        <v>9</v>
      </c>
      <c r="Q24" s="12">
        <v>20</v>
      </c>
      <c r="R24" s="11">
        <f t="shared" si="3"/>
        <v>704</v>
      </c>
      <c r="S24" s="8"/>
      <c r="T24" s="8"/>
      <c r="U24" s="11">
        <f t="shared" si="4"/>
        <v>3724</v>
      </c>
      <c r="V24" s="1"/>
      <c r="W24" s="28"/>
      <c r="X24" s="1"/>
      <c r="Y24" s="1"/>
      <c r="Z24" s="1"/>
      <c r="AA24" s="1"/>
      <c r="AB24" s="1"/>
    </row>
    <row r="25" spans="1:28" s="1" customFormat="1" x14ac:dyDescent="0.4">
      <c r="A25" s="54" t="s">
        <v>33</v>
      </c>
      <c r="B25" s="12">
        <v>3324</v>
      </c>
      <c r="C25" s="1" t="s">
        <v>35</v>
      </c>
      <c r="D25" s="1" t="s">
        <v>34</v>
      </c>
      <c r="E25" s="1" t="s">
        <v>36</v>
      </c>
      <c r="F25" s="18">
        <v>2900</v>
      </c>
      <c r="G25" s="52">
        <v>5</v>
      </c>
      <c r="H25" s="52">
        <v>13</v>
      </c>
      <c r="I25" s="23">
        <f t="shared" si="0"/>
        <v>8</v>
      </c>
      <c r="J25" s="23">
        <v>20</v>
      </c>
      <c r="K25" s="10">
        <v>20</v>
      </c>
      <c r="L25" s="11">
        <f t="shared" si="1"/>
        <v>180</v>
      </c>
      <c r="M25" s="52">
        <v>800</v>
      </c>
      <c r="N25" s="52">
        <v>855</v>
      </c>
      <c r="O25" s="12">
        <f t="shared" si="2"/>
        <v>55</v>
      </c>
      <c r="P25" s="12">
        <v>9</v>
      </c>
      <c r="Q25" s="12">
        <v>20</v>
      </c>
      <c r="R25" s="11">
        <f t="shared" si="3"/>
        <v>515</v>
      </c>
      <c r="S25" s="8"/>
      <c r="T25" s="8"/>
      <c r="U25" s="11">
        <f t="shared" si="4"/>
        <v>3595</v>
      </c>
      <c r="V25" s="24"/>
      <c r="W25" s="28"/>
    </row>
    <row r="26" spans="1:28" x14ac:dyDescent="0.4">
      <c r="A26" s="54" t="s">
        <v>33</v>
      </c>
      <c r="B26" s="12">
        <v>3325</v>
      </c>
      <c r="C26" s="1" t="s">
        <v>35</v>
      </c>
      <c r="D26" s="1" t="s">
        <v>34</v>
      </c>
      <c r="E26" s="1" t="s">
        <v>36</v>
      </c>
      <c r="F26" s="9">
        <v>2900</v>
      </c>
      <c r="G26" s="52">
        <v>55</v>
      </c>
      <c r="H26" s="52">
        <v>58</v>
      </c>
      <c r="I26" s="23">
        <f>H26-G26</f>
        <v>3</v>
      </c>
      <c r="J26" s="23">
        <v>20</v>
      </c>
      <c r="K26" s="10">
        <v>20</v>
      </c>
      <c r="L26" s="11">
        <f t="shared" si="1"/>
        <v>120</v>
      </c>
      <c r="M26" s="52">
        <v>4826</v>
      </c>
      <c r="N26" s="52">
        <v>5081</v>
      </c>
      <c r="O26" s="12">
        <f>N26-M26</f>
        <v>255</v>
      </c>
      <c r="P26" s="12">
        <v>9</v>
      </c>
      <c r="Q26" s="12">
        <v>20</v>
      </c>
      <c r="R26" s="11">
        <f t="shared" si="3"/>
        <v>2315</v>
      </c>
      <c r="S26" s="8"/>
      <c r="T26" s="8"/>
      <c r="U26" s="11">
        <f t="shared" si="4"/>
        <v>5335</v>
      </c>
      <c r="V26" s="24"/>
      <c r="W26" s="28"/>
      <c r="X26" s="1"/>
      <c r="Y26" s="1"/>
      <c r="Z26" s="1"/>
      <c r="AA26" s="1"/>
      <c r="AB26" s="1"/>
    </row>
    <row r="27" spans="1:28" x14ac:dyDescent="0.4">
      <c r="A27" s="54" t="s">
        <v>33</v>
      </c>
      <c r="B27" s="12">
        <v>3326</v>
      </c>
      <c r="C27" s="1" t="s">
        <v>35</v>
      </c>
      <c r="D27" s="1" t="s">
        <v>34</v>
      </c>
      <c r="E27" s="1" t="s">
        <v>36</v>
      </c>
      <c r="F27" s="18">
        <v>2900</v>
      </c>
      <c r="G27" s="52">
        <v>444</v>
      </c>
      <c r="H27" s="52">
        <v>451</v>
      </c>
      <c r="I27" s="23">
        <f t="shared" si="0"/>
        <v>7</v>
      </c>
      <c r="J27" s="23">
        <v>20</v>
      </c>
      <c r="K27" s="10">
        <v>20</v>
      </c>
      <c r="L27" s="11">
        <f t="shared" si="1"/>
        <v>160</v>
      </c>
      <c r="M27" s="52">
        <v>797</v>
      </c>
      <c r="N27" s="52">
        <v>892</v>
      </c>
      <c r="O27" s="12">
        <f t="shared" si="2"/>
        <v>95</v>
      </c>
      <c r="P27" s="12">
        <v>9</v>
      </c>
      <c r="Q27" s="12">
        <v>20</v>
      </c>
      <c r="R27" s="11">
        <f t="shared" si="3"/>
        <v>875</v>
      </c>
      <c r="S27" s="8"/>
      <c r="T27" s="8"/>
      <c r="U27" s="11">
        <f t="shared" si="4"/>
        <v>3935</v>
      </c>
      <c r="V27" s="25"/>
      <c r="W27" s="12"/>
      <c r="X27" s="1"/>
      <c r="Y27" s="1"/>
      <c r="Z27" s="1"/>
      <c r="AA27" s="1"/>
      <c r="AB27" s="1"/>
    </row>
    <row r="28" spans="1:28" s="1" customFormat="1" x14ac:dyDescent="0.4">
      <c r="A28" s="54" t="s">
        <v>33</v>
      </c>
      <c r="B28" s="12">
        <v>3327</v>
      </c>
      <c r="C28" s="1" t="s">
        <v>35</v>
      </c>
      <c r="D28" s="1" t="s">
        <v>34</v>
      </c>
      <c r="E28" s="1" t="s">
        <v>36</v>
      </c>
      <c r="F28" s="9">
        <v>2900</v>
      </c>
      <c r="G28" s="52">
        <v>237</v>
      </c>
      <c r="H28" s="52">
        <v>241</v>
      </c>
      <c r="I28" s="23">
        <f t="shared" si="0"/>
        <v>4</v>
      </c>
      <c r="J28" s="23">
        <v>20</v>
      </c>
      <c r="K28" s="10">
        <v>20</v>
      </c>
      <c r="L28" s="11">
        <f t="shared" si="1"/>
        <v>120</v>
      </c>
      <c r="M28" s="52">
        <v>8098</v>
      </c>
      <c r="N28" s="52">
        <v>8209</v>
      </c>
      <c r="O28" s="12">
        <f t="shared" si="2"/>
        <v>111</v>
      </c>
      <c r="P28" s="12">
        <v>9</v>
      </c>
      <c r="Q28" s="12">
        <v>20</v>
      </c>
      <c r="R28" s="11">
        <f t="shared" si="3"/>
        <v>1019</v>
      </c>
      <c r="S28" s="8"/>
      <c r="T28" s="8"/>
      <c r="U28" s="11">
        <f t="shared" si="4"/>
        <v>4039</v>
      </c>
      <c r="V28" s="25"/>
      <c r="W28" s="28"/>
      <c r="X28" s="64"/>
    </row>
    <row r="29" spans="1:28" x14ac:dyDescent="0.4">
      <c r="A29" s="54" t="s">
        <v>33</v>
      </c>
      <c r="B29" s="12">
        <v>3328</v>
      </c>
      <c r="C29" s="1" t="s">
        <v>35</v>
      </c>
      <c r="D29" s="1" t="s">
        <v>34</v>
      </c>
      <c r="E29" s="1" t="s">
        <v>36</v>
      </c>
      <c r="F29" s="18">
        <v>2900</v>
      </c>
      <c r="G29" s="52">
        <v>2121</v>
      </c>
      <c r="H29" s="52">
        <v>2128</v>
      </c>
      <c r="I29" s="23">
        <f t="shared" si="0"/>
        <v>7</v>
      </c>
      <c r="J29" s="23">
        <v>20</v>
      </c>
      <c r="K29" s="10">
        <v>20</v>
      </c>
      <c r="L29" s="11">
        <f t="shared" si="1"/>
        <v>160</v>
      </c>
      <c r="M29" s="52">
        <v>2332</v>
      </c>
      <c r="N29" s="52">
        <v>2374</v>
      </c>
      <c r="O29" s="12">
        <f t="shared" si="2"/>
        <v>42</v>
      </c>
      <c r="P29" s="12">
        <v>9</v>
      </c>
      <c r="Q29" s="12">
        <v>20</v>
      </c>
      <c r="R29" s="11">
        <f t="shared" si="3"/>
        <v>398</v>
      </c>
      <c r="S29" s="8"/>
      <c r="T29" s="8"/>
      <c r="U29" s="11">
        <f t="shared" si="4"/>
        <v>3458</v>
      </c>
      <c r="V29" s="1"/>
      <c r="W29" s="28"/>
      <c r="X29" s="25"/>
      <c r="Y29" s="25"/>
      <c r="Z29" s="1"/>
      <c r="AA29" s="1"/>
      <c r="AB29" s="1"/>
    </row>
    <row r="30" spans="1:28" ht="15.4" customHeight="1" x14ac:dyDescent="0.4">
      <c r="A30" s="54" t="s">
        <v>33</v>
      </c>
      <c r="B30" s="12">
        <v>3329</v>
      </c>
      <c r="C30" s="1" t="s">
        <v>35</v>
      </c>
      <c r="D30" s="1" t="s">
        <v>34</v>
      </c>
      <c r="E30" s="1" t="s">
        <v>36</v>
      </c>
      <c r="F30" s="9">
        <v>2900</v>
      </c>
      <c r="G30" s="52">
        <v>66</v>
      </c>
      <c r="H30" s="52">
        <v>71</v>
      </c>
      <c r="I30" s="23">
        <f t="shared" si="0"/>
        <v>5</v>
      </c>
      <c r="J30" s="23">
        <v>20</v>
      </c>
      <c r="K30" s="10">
        <v>20</v>
      </c>
      <c r="L30" s="11">
        <f t="shared" si="1"/>
        <v>120</v>
      </c>
      <c r="M30" s="52">
        <v>2858</v>
      </c>
      <c r="N30" s="52">
        <v>2954</v>
      </c>
      <c r="O30" s="12">
        <f t="shared" si="2"/>
        <v>96</v>
      </c>
      <c r="P30" s="12">
        <v>9</v>
      </c>
      <c r="Q30" s="12">
        <v>20</v>
      </c>
      <c r="R30" s="11">
        <f t="shared" si="3"/>
        <v>884</v>
      </c>
      <c r="S30" s="8"/>
      <c r="T30" s="8"/>
      <c r="U30" s="11">
        <f t="shared" si="4"/>
        <v>3904</v>
      </c>
      <c r="V30" s="1"/>
      <c r="W30" s="28"/>
      <c r="X30" s="1"/>
      <c r="Y30" s="1"/>
      <c r="Z30" s="1"/>
      <c r="AA30" s="1"/>
      <c r="AB30" s="1"/>
    </row>
    <row r="31" spans="1:28" ht="15.95" customHeight="1" x14ac:dyDescent="0.4">
      <c r="A31" s="54" t="s">
        <v>33</v>
      </c>
      <c r="B31" s="12">
        <v>3330</v>
      </c>
      <c r="C31" s="1" t="s">
        <v>35</v>
      </c>
      <c r="D31" s="1" t="s">
        <v>34</v>
      </c>
      <c r="E31" s="1" t="s">
        <v>36</v>
      </c>
      <c r="F31" s="18">
        <v>2900</v>
      </c>
      <c r="G31" s="52">
        <v>1505</v>
      </c>
      <c r="H31" s="52">
        <v>1515</v>
      </c>
      <c r="I31" s="23">
        <f t="shared" si="0"/>
        <v>10</v>
      </c>
      <c r="J31" s="23">
        <v>20</v>
      </c>
      <c r="K31" s="10">
        <v>20</v>
      </c>
      <c r="L31" s="11">
        <f t="shared" si="1"/>
        <v>220</v>
      </c>
      <c r="M31" s="52">
        <v>2141</v>
      </c>
      <c r="N31" s="52">
        <v>2234</v>
      </c>
      <c r="O31" s="12">
        <f t="shared" si="2"/>
        <v>93</v>
      </c>
      <c r="P31" s="12">
        <v>9</v>
      </c>
      <c r="Q31" s="12">
        <v>20</v>
      </c>
      <c r="R31" s="11">
        <f t="shared" si="3"/>
        <v>857</v>
      </c>
      <c r="S31" s="8"/>
      <c r="T31" s="8"/>
      <c r="U31" s="11">
        <f t="shared" si="4"/>
        <v>3977</v>
      </c>
      <c r="V31" s="1"/>
      <c r="W31" s="28"/>
      <c r="X31" s="1"/>
      <c r="Y31" s="1"/>
      <c r="Z31" s="1"/>
      <c r="AA31" s="1"/>
      <c r="AB31" s="1"/>
    </row>
    <row r="32" spans="1:28" ht="16.350000000000001" customHeight="1" x14ac:dyDescent="0.4">
      <c r="A32" s="54" t="s">
        <v>33</v>
      </c>
      <c r="B32" s="12">
        <v>3331</v>
      </c>
      <c r="C32" s="1" t="s">
        <v>35</v>
      </c>
      <c r="D32" s="1" t="s">
        <v>34</v>
      </c>
      <c r="E32" s="1" t="s">
        <v>36</v>
      </c>
      <c r="F32" s="9">
        <v>2400</v>
      </c>
      <c r="G32" s="52">
        <v>50</v>
      </c>
      <c r="H32" s="52">
        <v>54</v>
      </c>
      <c r="I32" s="23">
        <f t="shared" si="0"/>
        <v>4</v>
      </c>
      <c r="J32" s="23">
        <v>20</v>
      </c>
      <c r="K32" s="10">
        <v>20</v>
      </c>
      <c r="L32" s="11">
        <f t="shared" si="1"/>
        <v>120</v>
      </c>
      <c r="M32" s="52">
        <v>882</v>
      </c>
      <c r="N32" s="52">
        <v>911</v>
      </c>
      <c r="O32" s="12">
        <f t="shared" si="2"/>
        <v>29</v>
      </c>
      <c r="P32" s="12">
        <v>9</v>
      </c>
      <c r="Q32" s="12">
        <v>20</v>
      </c>
      <c r="R32" s="11">
        <f t="shared" si="3"/>
        <v>281</v>
      </c>
      <c r="S32" s="8"/>
      <c r="T32" s="8"/>
      <c r="U32" s="11">
        <f t="shared" si="4"/>
        <v>2801</v>
      </c>
      <c r="V32" s="53"/>
      <c r="W32" s="28"/>
      <c r="X32" s="1"/>
      <c r="Y32" s="1"/>
      <c r="Z32" s="1"/>
      <c r="AA32" s="1"/>
      <c r="AB32" s="1"/>
    </row>
    <row r="33" spans="1:28" s="1" customFormat="1" ht="15.95" customHeight="1" x14ac:dyDescent="0.4">
      <c r="A33" s="54" t="s">
        <v>33</v>
      </c>
      <c r="B33" s="12">
        <v>3332</v>
      </c>
      <c r="C33" s="1" t="s">
        <v>35</v>
      </c>
      <c r="D33" s="1" t="s">
        <v>34</v>
      </c>
      <c r="E33" s="1" t="s">
        <v>36</v>
      </c>
      <c r="F33" s="18">
        <v>2900</v>
      </c>
      <c r="G33" s="52">
        <v>1034</v>
      </c>
      <c r="H33" s="52">
        <v>1036</v>
      </c>
      <c r="I33" s="23">
        <f t="shared" si="0"/>
        <v>2</v>
      </c>
      <c r="J33" s="23">
        <v>20</v>
      </c>
      <c r="K33" s="10">
        <v>20</v>
      </c>
      <c r="L33" s="11">
        <f t="shared" si="1"/>
        <v>120</v>
      </c>
      <c r="M33" s="52">
        <v>704</v>
      </c>
      <c r="N33" s="52">
        <v>719</v>
      </c>
      <c r="O33" s="12">
        <f t="shared" si="2"/>
        <v>15</v>
      </c>
      <c r="P33" s="12">
        <v>9</v>
      </c>
      <c r="Q33" s="12">
        <v>20</v>
      </c>
      <c r="R33" s="11">
        <f t="shared" si="3"/>
        <v>155</v>
      </c>
      <c r="S33" s="8" t="s">
        <v>29</v>
      </c>
      <c r="T33" s="8"/>
      <c r="U33" s="11">
        <f t="shared" si="4"/>
        <v>3175</v>
      </c>
      <c r="V33" s="25"/>
      <c r="W33" s="28"/>
    </row>
    <row r="34" spans="1:28" s="21" customFormat="1" ht="16.5" customHeight="1" x14ac:dyDescent="0.4">
      <c r="A34" s="16"/>
      <c r="B34" s="15"/>
      <c r="C34" s="15"/>
      <c r="D34" s="15"/>
      <c r="E34" s="15"/>
      <c r="F34" s="17"/>
      <c r="G34" s="15"/>
      <c r="H34" s="15"/>
      <c r="I34" s="17"/>
      <c r="J34" s="17"/>
      <c r="K34" s="15"/>
      <c r="L34" s="19"/>
      <c r="M34" s="15"/>
      <c r="N34" s="15"/>
      <c r="O34" s="15"/>
      <c r="P34" s="15"/>
      <c r="Q34" s="15"/>
      <c r="R34" s="19"/>
      <c r="S34" s="19"/>
      <c r="T34" s="19"/>
      <c r="U34" s="19"/>
      <c r="V34" s="60"/>
      <c r="W34" s="28"/>
      <c r="X34" s="15"/>
      <c r="Y34" s="15"/>
      <c r="Z34" s="15"/>
      <c r="AA34" s="15"/>
      <c r="AB34" s="15"/>
    </row>
    <row r="35" spans="1:28" x14ac:dyDescent="0.4">
      <c r="B35" s="1"/>
      <c r="C35" s="1"/>
      <c r="D35" s="1"/>
      <c r="E35" s="1"/>
      <c r="F35" s="1"/>
      <c r="G35" s="1"/>
      <c r="H35" s="1"/>
      <c r="I35" s="1"/>
      <c r="J35" s="1"/>
      <c r="L35" s="1"/>
      <c r="M35" s="1"/>
      <c r="N35" s="1"/>
      <c r="O35" s="1"/>
      <c r="P35" s="1"/>
      <c r="R35" s="1"/>
      <c r="S35" s="1"/>
      <c r="T35" s="1"/>
      <c r="U35" s="1"/>
      <c r="V35" s="1"/>
      <c r="W35" s="28"/>
      <c r="X35" s="1"/>
      <c r="Y35" s="1"/>
      <c r="Z35" s="1"/>
      <c r="AA35" s="1"/>
      <c r="AB35" s="1"/>
    </row>
  </sheetData>
  <phoneticPr fontId="12" type="noConversion"/>
  <conditionalFormatting sqref="U2:U33">
    <cfRule type="duplicateValues" dxfId="17" priority="4"/>
  </conditionalFormatting>
  <pageMargins left="0" right="0" top="0" bottom="0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35"/>
  <sheetViews>
    <sheetView zoomScale="87" zoomScaleNormal="87" workbookViewId="0">
      <selection sqref="A1:V1"/>
    </sheetView>
  </sheetViews>
  <sheetFormatPr defaultColWidth="5.875" defaultRowHeight="18" x14ac:dyDescent="0.4"/>
  <cols>
    <col min="1" max="1" width="6.875" style="48" customWidth="1"/>
    <col min="2" max="2" width="4.375" style="1" bestFit="1" customWidth="1"/>
    <col min="3" max="3" width="4.75" style="41" customWidth="1"/>
    <col min="4" max="4" width="6.25" style="41" customWidth="1"/>
    <col min="5" max="5" width="12.625" style="41" customWidth="1"/>
    <col min="6" max="6" width="6.625" style="1" customWidth="1"/>
    <col min="7" max="7" width="4.875" style="3" customWidth="1"/>
    <col min="8" max="8" width="5.25" style="3" bestFit="1" customWidth="1"/>
    <col min="9" max="9" width="4.625" style="3" customWidth="1"/>
    <col min="10" max="10" width="9.25" style="3" bestFit="1" customWidth="1"/>
    <col min="11" max="11" width="11.875" style="3" bestFit="1" customWidth="1"/>
    <col min="12" max="12" width="7" style="3" customWidth="1"/>
    <col min="13" max="14" width="5.375" style="3" customWidth="1"/>
    <col min="15" max="15" width="5.75" style="3" bestFit="1" customWidth="1"/>
    <col min="16" max="16" width="9.25" style="3" bestFit="1" customWidth="1"/>
    <col min="17" max="17" width="11.875" style="3" bestFit="1" customWidth="1"/>
    <col min="18" max="18" width="7.125" style="3" customWidth="1"/>
    <col min="19" max="19" width="4.25" style="3" customWidth="1"/>
    <col min="20" max="20" width="4.625" style="3" customWidth="1"/>
    <col min="21" max="21" width="7.875" style="3" customWidth="1"/>
    <col min="22" max="22" width="27.25" style="3" customWidth="1"/>
    <col min="23" max="23" width="3.25" style="29" customWidth="1"/>
    <col min="24" max="24" width="21.625" style="3" customWidth="1"/>
    <col min="25" max="16384" width="5.875" style="3"/>
  </cols>
  <sheetData>
    <row r="1" spans="1:25" s="15" customFormat="1" ht="17.100000000000001" customHeight="1" x14ac:dyDescent="0.4">
      <c r="A1" s="4" t="s">
        <v>0</v>
      </c>
      <c r="B1" s="5" t="s">
        <v>31</v>
      </c>
      <c r="C1" s="4" t="s">
        <v>26</v>
      </c>
      <c r="D1" s="4" t="s">
        <v>27</v>
      </c>
      <c r="E1" s="4" t="s">
        <v>28</v>
      </c>
      <c r="F1" s="73" t="s">
        <v>1</v>
      </c>
      <c r="G1" s="5" t="s">
        <v>2</v>
      </c>
      <c r="H1" s="5" t="s">
        <v>3</v>
      </c>
      <c r="I1" s="5" t="s">
        <v>4</v>
      </c>
      <c r="J1" s="12" t="s">
        <v>38</v>
      </c>
      <c r="K1" s="6" t="s">
        <v>39</v>
      </c>
      <c r="L1" s="7" t="s">
        <v>41</v>
      </c>
      <c r="M1" s="5" t="s">
        <v>5</v>
      </c>
      <c r="N1" s="5" t="s">
        <v>6</v>
      </c>
      <c r="O1" s="5" t="s">
        <v>7</v>
      </c>
      <c r="P1" s="12" t="s">
        <v>37</v>
      </c>
      <c r="Q1" s="5" t="s">
        <v>40</v>
      </c>
      <c r="R1" s="7" t="s">
        <v>42</v>
      </c>
      <c r="S1" s="4" t="s">
        <v>8</v>
      </c>
      <c r="T1" s="4" t="s">
        <v>9</v>
      </c>
      <c r="U1" s="7" t="s">
        <v>10</v>
      </c>
      <c r="V1" s="4" t="s">
        <v>30</v>
      </c>
      <c r="W1" s="44"/>
      <c r="X1" s="89"/>
      <c r="Y1" s="89"/>
    </row>
    <row r="2" spans="1:25" x14ac:dyDescent="0.4">
      <c r="A2" s="90" t="s">
        <v>33</v>
      </c>
      <c r="B2" s="12">
        <v>3401</v>
      </c>
      <c r="C2" s="1" t="s">
        <v>35</v>
      </c>
      <c r="D2" s="1" t="s">
        <v>34</v>
      </c>
      <c r="E2" s="1" t="s">
        <v>36</v>
      </c>
      <c r="F2" s="9">
        <v>2900</v>
      </c>
      <c r="G2" s="40">
        <v>71</v>
      </c>
      <c r="H2" s="40">
        <v>74</v>
      </c>
      <c r="I2" s="23">
        <f>H2-G2</f>
        <v>3</v>
      </c>
      <c r="J2" s="23">
        <v>20</v>
      </c>
      <c r="K2" s="10">
        <v>20</v>
      </c>
      <c r="L2" s="11">
        <f>IF(F2= " "," ",IF(I2*J2+K2&lt;120,120,I2*J2+K2))</f>
        <v>120</v>
      </c>
      <c r="M2" s="58">
        <v>1271</v>
      </c>
      <c r="N2" s="58">
        <v>1295</v>
      </c>
      <c r="O2" s="12">
        <f>N2-M2</f>
        <v>24</v>
      </c>
      <c r="P2" s="12">
        <v>9</v>
      </c>
      <c r="Q2" s="12">
        <v>20</v>
      </c>
      <c r="R2" s="11">
        <f>IF(F2=" "," ",IF(O2*P2+Q2&lt;65,65,O2*P2+Q2))</f>
        <v>236</v>
      </c>
      <c r="S2" s="12"/>
      <c r="T2" s="12"/>
      <c r="U2" s="11">
        <f t="shared" ref="U2:U33" si="0">IF(F2=" ",0,SUM(F2,L2,R2,S2,T2))</f>
        <v>3256</v>
      </c>
      <c r="V2" s="89"/>
      <c r="W2" s="44"/>
      <c r="X2" s="40"/>
      <c r="Y2" s="40"/>
    </row>
    <row r="3" spans="1:25" s="1" customFormat="1" x14ac:dyDescent="0.4">
      <c r="A3" s="90" t="s">
        <v>33</v>
      </c>
      <c r="B3" s="12">
        <v>3402</v>
      </c>
      <c r="C3" s="1" t="s">
        <v>35</v>
      </c>
      <c r="D3" s="1" t="s">
        <v>34</v>
      </c>
      <c r="E3" s="1" t="s">
        <v>36</v>
      </c>
      <c r="F3" s="9">
        <v>2900</v>
      </c>
      <c r="G3" s="40">
        <v>1791</v>
      </c>
      <c r="H3" s="40">
        <v>1805</v>
      </c>
      <c r="I3" s="23">
        <f t="shared" ref="I3:I33" si="1">H3-G3</f>
        <v>14</v>
      </c>
      <c r="J3" s="23">
        <v>20</v>
      </c>
      <c r="K3" s="10">
        <v>20</v>
      </c>
      <c r="L3" s="11">
        <f t="shared" ref="L3:L33" si="2">IF(F3= " "," ",IF(I3*J3+K3&lt;120,120,I3*J3+K3))</f>
        <v>300</v>
      </c>
      <c r="M3" s="58">
        <v>2089</v>
      </c>
      <c r="N3" s="58">
        <v>2151</v>
      </c>
      <c r="O3" s="12">
        <f t="shared" ref="O3:O33" si="3">N3-M3</f>
        <v>62</v>
      </c>
      <c r="P3" s="12">
        <v>9</v>
      </c>
      <c r="Q3" s="12">
        <v>20</v>
      </c>
      <c r="R3" s="11">
        <f t="shared" ref="R3:R33" si="4">IF(F3=" "," ",IF(O3*P3+Q3&lt;65,65,O3*P3+Q3))</f>
        <v>578</v>
      </c>
      <c r="S3" s="12"/>
      <c r="T3" s="12"/>
      <c r="U3" s="11">
        <f t="shared" si="0"/>
        <v>3778</v>
      </c>
      <c r="V3" s="91"/>
      <c r="W3" s="44"/>
      <c r="X3" s="40"/>
      <c r="Y3" s="40"/>
    </row>
    <row r="4" spans="1:25" s="1" customFormat="1" x14ac:dyDescent="0.4">
      <c r="A4" s="90" t="s">
        <v>33</v>
      </c>
      <c r="B4" s="12">
        <v>3403</v>
      </c>
      <c r="C4" s="1" t="s">
        <v>35</v>
      </c>
      <c r="D4" s="1" t="s">
        <v>34</v>
      </c>
      <c r="E4" s="1" t="s">
        <v>36</v>
      </c>
      <c r="F4" s="9">
        <v>2900</v>
      </c>
      <c r="G4" s="40">
        <v>4343</v>
      </c>
      <c r="H4" s="40">
        <v>4358</v>
      </c>
      <c r="I4" s="23">
        <f t="shared" si="1"/>
        <v>15</v>
      </c>
      <c r="J4" s="23">
        <v>20</v>
      </c>
      <c r="K4" s="10">
        <v>20</v>
      </c>
      <c r="L4" s="11">
        <f t="shared" si="2"/>
        <v>320</v>
      </c>
      <c r="M4" s="58">
        <v>2523</v>
      </c>
      <c r="N4" s="58">
        <v>2645</v>
      </c>
      <c r="O4" s="12">
        <f t="shared" si="3"/>
        <v>122</v>
      </c>
      <c r="P4" s="12">
        <v>9</v>
      </c>
      <c r="Q4" s="12">
        <v>20</v>
      </c>
      <c r="R4" s="11">
        <f t="shared" si="4"/>
        <v>1118</v>
      </c>
      <c r="S4" s="12"/>
      <c r="T4" s="12"/>
      <c r="U4" s="11">
        <f t="shared" si="0"/>
        <v>4338</v>
      </c>
      <c r="V4" s="91"/>
      <c r="W4" s="44"/>
      <c r="X4" s="40"/>
      <c r="Y4" s="40"/>
    </row>
    <row r="5" spans="1:25" s="1" customFormat="1" x14ac:dyDescent="0.4">
      <c r="A5" s="90" t="s">
        <v>33</v>
      </c>
      <c r="B5" s="12">
        <v>3404</v>
      </c>
      <c r="C5" s="1" t="s">
        <v>35</v>
      </c>
      <c r="D5" s="1" t="s">
        <v>34</v>
      </c>
      <c r="E5" s="1" t="s">
        <v>36</v>
      </c>
      <c r="F5" s="9">
        <v>2900</v>
      </c>
      <c r="G5" s="40">
        <v>44</v>
      </c>
      <c r="H5" s="40">
        <v>49</v>
      </c>
      <c r="I5" s="23">
        <f t="shared" si="1"/>
        <v>5</v>
      </c>
      <c r="J5" s="23">
        <v>20</v>
      </c>
      <c r="K5" s="10">
        <v>20</v>
      </c>
      <c r="L5" s="11">
        <f t="shared" si="2"/>
        <v>120</v>
      </c>
      <c r="M5" s="58">
        <v>1003</v>
      </c>
      <c r="N5" s="58">
        <v>1059</v>
      </c>
      <c r="O5" s="12">
        <f t="shared" si="3"/>
        <v>56</v>
      </c>
      <c r="P5" s="12">
        <v>9</v>
      </c>
      <c r="Q5" s="12">
        <v>20</v>
      </c>
      <c r="R5" s="11">
        <f t="shared" si="4"/>
        <v>524</v>
      </c>
      <c r="S5" s="44"/>
      <c r="T5" s="12"/>
      <c r="U5" s="11">
        <f t="shared" si="0"/>
        <v>3544</v>
      </c>
      <c r="V5" s="89"/>
      <c r="W5" s="44"/>
      <c r="X5" s="40"/>
      <c r="Y5" s="40"/>
    </row>
    <row r="6" spans="1:25" x14ac:dyDescent="0.4">
      <c r="A6" s="90" t="s">
        <v>33</v>
      </c>
      <c r="B6" s="12">
        <v>3405</v>
      </c>
      <c r="C6" s="1" t="s">
        <v>35</v>
      </c>
      <c r="D6" s="1" t="s">
        <v>34</v>
      </c>
      <c r="E6" s="1" t="s">
        <v>36</v>
      </c>
      <c r="F6" s="9">
        <v>2900</v>
      </c>
      <c r="G6" s="40">
        <v>23</v>
      </c>
      <c r="H6" s="40">
        <v>25</v>
      </c>
      <c r="I6" s="23">
        <f t="shared" si="1"/>
        <v>2</v>
      </c>
      <c r="J6" s="23">
        <v>20</v>
      </c>
      <c r="K6" s="10">
        <v>20</v>
      </c>
      <c r="L6" s="11">
        <f t="shared" si="2"/>
        <v>120</v>
      </c>
      <c r="M6" s="58">
        <v>864</v>
      </c>
      <c r="N6" s="58">
        <v>893</v>
      </c>
      <c r="O6" s="12">
        <f t="shared" si="3"/>
        <v>29</v>
      </c>
      <c r="P6" s="12">
        <v>9</v>
      </c>
      <c r="Q6" s="12">
        <v>20</v>
      </c>
      <c r="R6" s="11">
        <f t="shared" si="4"/>
        <v>281</v>
      </c>
      <c r="S6" s="12" t="s">
        <v>29</v>
      </c>
      <c r="T6" s="12"/>
      <c r="U6" s="11">
        <f t="shared" si="0"/>
        <v>3301</v>
      </c>
      <c r="V6" s="40"/>
      <c r="W6" s="44"/>
      <c r="X6" s="40"/>
      <c r="Y6" s="40"/>
    </row>
    <row r="7" spans="1:25" x14ac:dyDescent="0.4">
      <c r="A7" s="90" t="s">
        <v>33</v>
      </c>
      <c r="B7" s="12">
        <v>3406</v>
      </c>
      <c r="C7" s="1" t="s">
        <v>35</v>
      </c>
      <c r="D7" s="1" t="s">
        <v>34</v>
      </c>
      <c r="E7" s="1" t="s">
        <v>36</v>
      </c>
      <c r="F7" s="9">
        <v>2900</v>
      </c>
      <c r="G7" s="40">
        <v>1906</v>
      </c>
      <c r="H7" s="40">
        <v>1910</v>
      </c>
      <c r="I7" s="23">
        <f t="shared" si="1"/>
        <v>4</v>
      </c>
      <c r="J7" s="23">
        <v>20</v>
      </c>
      <c r="K7" s="10">
        <v>20</v>
      </c>
      <c r="L7" s="11">
        <f t="shared" si="2"/>
        <v>120</v>
      </c>
      <c r="M7" s="58">
        <v>1388</v>
      </c>
      <c r="N7" s="58">
        <v>1443</v>
      </c>
      <c r="O7" s="12">
        <f t="shared" si="3"/>
        <v>55</v>
      </c>
      <c r="P7" s="12">
        <v>9</v>
      </c>
      <c r="Q7" s="12">
        <v>20</v>
      </c>
      <c r="R7" s="11">
        <f t="shared" si="4"/>
        <v>515</v>
      </c>
      <c r="S7" s="12"/>
      <c r="T7" s="12"/>
      <c r="U7" s="11">
        <f t="shared" si="0"/>
        <v>3535</v>
      </c>
      <c r="V7" s="89"/>
      <c r="W7" s="44"/>
      <c r="X7" s="40"/>
      <c r="Y7" s="40"/>
    </row>
    <row r="8" spans="1:25" x14ac:dyDescent="0.4">
      <c r="A8" s="90" t="s">
        <v>33</v>
      </c>
      <c r="B8" s="12">
        <v>3407</v>
      </c>
      <c r="C8" s="1" t="s">
        <v>35</v>
      </c>
      <c r="D8" s="1" t="s">
        <v>34</v>
      </c>
      <c r="E8" s="1" t="s">
        <v>36</v>
      </c>
      <c r="F8" s="9">
        <v>2900</v>
      </c>
      <c r="G8" s="40">
        <v>98</v>
      </c>
      <c r="H8" s="40">
        <v>102</v>
      </c>
      <c r="I8" s="23">
        <f t="shared" si="1"/>
        <v>4</v>
      </c>
      <c r="J8" s="23">
        <v>20</v>
      </c>
      <c r="K8" s="10">
        <v>20</v>
      </c>
      <c r="L8" s="11">
        <f t="shared" si="2"/>
        <v>120</v>
      </c>
      <c r="M8" s="58">
        <v>1578</v>
      </c>
      <c r="N8" s="58">
        <v>1616</v>
      </c>
      <c r="O8" s="12">
        <f t="shared" si="3"/>
        <v>38</v>
      </c>
      <c r="P8" s="12">
        <v>9</v>
      </c>
      <c r="Q8" s="12">
        <v>20</v>
      </c>
      <c r="R8" s="11">
        <f t="shared" si="4"/>
        <v>362</v>
      </c>
      <c r="S8" s="12" t="s">
        <v>29</v>
      </c>
      <c r="T8" s="12"/>
      <c r="U8" s="11">
        <f t="shared" si="0"/>
        <v>3382</v>
      </c>
      <c r="V8" s="40"/>
      <c r="W8" s="44"/>
      <c r="X8" s="40"/>
      <c r="Y8" s="40"/>
    </row>
    <row r="9" spans="1:25" x14ac:dyDescent="0.4">
      <c r="A9" s="90" t="s">
        <v>33</v>
      </c>
      <c r="B9" s="12">
        <v>3408</v>
      </c>
      <c r="C9" s="1" t="s">
        <v>35</v>
      </c>
      <c r="D9" s="1" t="s">
        <v>34</v>
      </c>
      <c r="E9" s="1" t="s">
        <v>36</v>
      </c>
      <c r="F9" s="9">
        <v>2900</v>
      </c>
      <c r="G9" s="40">
        <v>2766</v>
      </c>
      <c r="H9" s="40">
        <v>2793</v>
      </c>
      <c r="I9" s="23">
        <f t="shared" si="1"/>
        <v>27</v>
      </c>
      <c r="J9" s="23">
        <v>20</v>
      </c>
      <c r="K9" s="10">
        <v>20</v>
      </c>
      <c r="L9" s="11">
        <f t="shared" si="2"/>
        <v>560</v>
      </c>
      <c r="M9" s="58">
        <v>3466</v>
      </c>
      <c r="N9" s="58">
        <v>3621</v>
      </c>
      <c r="O9" s="12">
        <f t="shared" si="3"/>
        <v>155</v>
      </c>
      <c r="P9" s="12">
        <v>9</v>
      </c>
      <c r="Q9" s="12">
        <v>20</v>
      </c>
      <c r="R9" s="11">
        <f t="shared" si="4"/>
        <v>1415</v>
      </c>
      <c r="S9" s="12"/>
      <c r="T9" s="12"/>
      <c r="U9" s="11">
        <f t="shared" si="0"/>
        <v>4875</v>
      </c>
      <c r="V9" s="40"/>
      <c r="W9" s="44"/>
      <c r="X9" s="40"/>
      <c r="Y9" s="40"/>
    </row>
    <row r="10" spans="1:25" s="1" customFormat="1" x14ac:dyDescent="0.4">
      <c r="A10" s="90" t="s">
        <v>33</v>
      </c>
      <c r="B10" s="12">
        <v>3409</v>
      </c>
      <c r="C10" s="1" t="s">
        <v>35</v>
      </c>
      <c r="D10" s="1" t="s">
        <v>34</v>
      </c>
      <c r="E10" s="1" t="s">
        <v>36</v>
      </c>
      <c r="F10" s="9">
        <v>2900</v>
      </c>
      <c r="G10" s="40">
        <v>52</v>
      </c>
      <c r="H10" s="40">
        <v>57</v>
      </c>
      <c r="I10" s="23">
        <f t="shared" si="1"/>
        <v>5</v>
      </c>
      <c r="J10" s="23">
        <v>20</v>
      </c>
      <c r="K10" s="10">
        <v>20</v>
      </c>
      <c r="L10" s="11">
        <f t="shared" si="2"/>
        <v>120</v>
      </c>
      <c r="M10" s="58">
        <v>2009</v>
      </c>
      <c r="N10" s="58">
        <v>2112</v>
      </c>
      <c r="O10" s="12">
        <f t="shared" si="3"/>
        <v>103</v>
      </c>
      <c r="P10" s="12">
        <v>9</v>
      </c>
      <c r="Q10" s="12">
        <v>20</v>
      </c>
      <c r="R10" s="11">
        <f t="shared" si="4"/>
        <v>947</v>
      </c>
      <c r="S10" s="12"/>
      <c r="T10" s="12"/>
      <c r="U10" s="11">
        <f t="shared" si="0"/>
        <v>3967</v>
      </c>
      <c r="V10" s="89"/>
      <c r="W10" s="44"/>
      <c r="X10" s="40"/>
      <c r="Y10" s="40"/>
    </row>
    <row r="11" spans="1:25" x14ac:dyDescent="0.4">
      <c r="A11" s="90" t="s">
        <v>33</v>
      </c>
      <c r="B11" s="12">
        <v>3410</v>
      </c>
      <c r="C11" s="1" t="s">
        <v>35</v>
      </c>
      <c r="D11" s="1" t="s">
        <v>34</v>
      </c>
      <c r="E11" s="1" t="s">
        <v>36</v>
      </c>
      <c r="F11" s="9">
        <v>2900</v>
      </c>
      <c r="G11" s="40">
        <v>95</v>
      </c>
      <c r="H11" s="40">
        <v>110</v>
      </c>
      <c r="I11" s="23">
        <f t="shared" ref="I11" si="5">H11-G11</f>
        <v>15</v>
      </c>
      <c r="J11" s="23">
        <v>20</v>
      </c>
      <c r="K11" s="10">
        <v>20</v>
      </c>
      <c r="L11" s="11">
        <f t="shared" si="2"/>
        <v>320</v>
      </c>
      <c r="M11" s="58">
        <v>972</v>
      </c>
      <c r="N11" s="58">
        <v>989</v>
      </c>
      <c r="O11" s="12">
        <f t="shared" si="3"/>
        <v>17</v>
      </c>
      <c r="P11" s="12">
        <v>9</v>
      </c>
      <c r="Q11" s="12">
        <v>20</v>
      </c>
      <c r="R11" s="11">
        <f t="shared" si="4"/>
        <v>173</v>
      </c>
      <c r="S11" s="12"/>
      <c r="T11" s="12"/>
      <c r="U11" s="11">
        <f t="shared" si="0"/>
        <v>3393</v>
      </c>
      <c r="V11" s="91"/>
      <c r="W11" s="44"/>
      <c r="X11" s="40"/>
      <c r="Y11" s="40"/>
    </row>
    <row r="12" spans="1:25" x14ac:dyDescent="0.4">
      <c r="A12" s="90" t="s">
        <v>33</v>
      </c>
      <c r="B12" s="12">
        <v>3411</v>
      </c>
      <c r="C12" s="1" t="s">
        <v>35</v>
      </c>
      <c r="D12" s="1" t="s">
        <v>34</v>
      </c>
      <c r="E12" s="1" t="s">
        <v>36</v>
      </c>
      <c r="F12" s="9">
        <v>2900</v>
      </c>
      <c r="G12" s="40">
        <v>1905</v>
      </c>
      <c r="H12" s="40">
        <v>1936</v>
      </c>
      <c r="I12" s="23">
        <f t="shared" si="1"/>
        <v>31</v>
      </c>
      <c r="J12" s="23">
        <v>20</v>
      </c>
      <c r="K12" s="10">
        <v>20</v>
      </c>
      <c r="L12" s="11">
        <f t="shared" si="2"/>
        <v>640</v>
      </c>
      <c r="M12" s="58">
        <v>3269</v>
      </c>
      <c r="N12" s="58">
        <v>3421</v>
      </c>
      <c r="O12" s="12">
        <f t="shared" si="3"/>
        <v>152</v>
      </c>
      <c r="P12" s="12">
        <v>9</v>
      </c>
      <c r="Q12" s="12">
        <v>20</v>
      </c>
      <c r="R12" s="11">
        <f t="shared" si="4"/>
        <v>1388</v>
      </c>
      <c r="S12" s="12" t="s">
        <v>29</v>
      </c>
      <c r="T12" s="12"/>
      <c r="U12" s="11">
        <f t="shared" si="0"/>
        <v>4928</v>
      </c>
      <c r="V12" s="91"/>
      <c r="W12" s="44"/>
      <c r="X12" s="40"/>
      <c r="Y12" s="40"/>
    </row>
    <row r="13" spans="1:25" s="1" customFormat="1" x14ac:dyDescent="0.4">
      <c r="A13" s="90" t="s">
        <v>33</v>
      </c>
      <c r="B13" s="12">
        <v>3412</v>
      </c>
      <c r="C13" s="1" t="s">
        <v>35</v>
      </c>
      <c r="D13" s="1" t="s">
        <v>34</v>
      </c>
      <c r="E13" s="1" t="s">
        <v>36</v>
      </c>
      <c r="F13" s="9">
        <v>2900</v>
      </c>
      <c r="G13" s="40">
        <v>4708</v>
      </c>
      <c r="H13" s="40">
        <v>4721</v>
      </c>
      <c r="I13" s="23">
        <f t="shared" si="1"/>
        <v>13</v>
      </c>
      <c r="J13" s="23">
        <v>20</v>
      </c>
      <c r="K13" s="10">
        <v>20</v>
      </c>
      <c r="L13" s="11">
        <f t="shared" si="2"/>
        <v>280</v>
      </c>
      <c r="M13" s="58">
        <v>969</v>
      </c>
      <c r="N13" s="58">
        <v>1041</v>
      </c>
      <c r="O13" s="12">
        <f t="shared" si="3"/>
        <v>72</v>
      </c>
      <c r="P13" s="12">
        <v>9</v>
      </c>
      <c r="Q13" s="12">
        <v>20</v>
      </c>
      <c r="R13" s="11">
        <f t="shared" si="4"/>
        <v>668</v>
      </c>
      <c r="S13" s="12"/>
      <c r="T13" s="12"/>
      <c r="U13" s="11">
        <f t="shared" si="0"/>
        <v>3848</v>
      </c>
      <c r="V13" s="89"/>
      <c r="W13" s="44"/>
      <c r="X13" s="40"/>
      <c r="Y13" s="40"/>
    </row>
    <row r="14" spans="1:25" s="1" customFormat="1" x14ac:dyDescent="0.4">
      <c r="A14" s="90" t="s">
        <v>33</v>
      </c>
      <c r="B14" s="12">
        <v>3413</v>
      </c>
      <c r="C14" s="1" t="s">
        <v>35</v>
      </c>
      <c r="D14" s="1" t="s">
        <v>34</v>
      </c>
      <c r="E14" s="1" t="s">
        <v>36</v>
      </c>
      <c r="F14" s="9">
        <v>2900</v>
      </c>
      <c r="G14" s="40">
        <v>3187</v>
      </c>
      <c r="H14" s="40">
        <v>3219</v>
      </c>
      <c r="I14" s="23">
        <f t="shared" si="1"/>
        <v>32</v>
      </c>
      <c r="J14" s="23">
        <v>20</v>
      </c>
      <c r="K14" s="10">
        <v>20</v>
      </c>
      <c r="L14" s="11">
        <f t="shared" si="2"/>
        <v>660</v>
      </c>
      <c r="M14" s="58">
        <v>2384</v>
      </c>
      <c r="N14" s="58">
        <v>2488</v>
      </c>
      <c r="O14" s="12">
        <f t="shared" si="3"/>
        <v>104</v>
      </c>
      <c r="P14" s="12">
        <v>9</v>
      </c>
      <c r="Q14" s="12">
        <v>20</v>
      </c>
      <c r="R14" s="11">
        <f t="shared" si="4"/>
        <v>956</v>
      </c>
      <c r="S14" s="12"/>
      <c r="T14" s="12"/>
      <c r="U14" s="11">
        <f t="shared" si="0"/>
        <v>4516</v>
      </c>
      <c r="V14" s="89"/>
      <c r="W14" s="44"/>
      <c r="X14" s="40"/>
      <c r="Y14" s="40"/>
    </row>
    <row r="15" spans="1:25" s="1" customFormat="1" x14ac:dyDescent="0.4">
      <c r="A15" s="90" t="s">
        <v>33</v>
      </c>
      <c r="B15" s="12">
        <v>3414</v>
      </c>
      <c r="C15" s="1" t="s">
        <v>35</v>
      </c>
      <c r="D15" s="1" t="s">
        <v>34</v>
      </c>
      <c r="E15" s="1" t="s">
        <v>36</v>
      </c>
      <c r="F15" s="9">
        <v>2900</v>
      </c>
      <c r="G15" s="40">
        <v>1360</v>
      </c>
      <c r="H15" s="40">
        <v>1371</v>
      </c>
      <c r="I15" s="23">
        <f t="shared" si="1"/>
        <v>11</v>
      </c>
      <c r="J15" s="23">
        <v>20</v>
      </c>
      <c r="K15" s="10">
        <v>20</v>
      </c>
      <c r="L15" s="11">
        <f t="shared" si="2"/>
        <v>240</v>
      </c>
      <c r="M15" s="58">
        <v>1761</v>
      </c>
      <c r="N15" s="58">
        <v>1847</v>
      </c>
      <c r="O15" s="12">
        <f t="shared" si="3"/>
        <v>86</v>
      </c>
      <c r="P15" s="12">
        <v>9</v>
      </c>
      <c r="Q15" s="12">
        <v>20</v>
      </c>
      <c r="R15" s="11">
        <f t="shared" si="4"/>
        <v>794</v>
      </c>
      <c r="S15" s="12"/>
      <c r="T15" s="12"/>
      <c r="U15" s="11">
        <f t="shared" si="0"/>
        <v>3934</v>
      </c>
      <c r="V15" s="40"/>
      <c r="W15" s="44"/>
      <c r="X15" s="40"/>
      <c r="Y15" s="40"/>
    </row>
    <row r="16" spans="1:25" ht="18.75" customHeight="1" x14ac:dyDescent="0.4">
      <c r="A16" s="90" t="s">
        <v>33</v>
      </c>
      <c r="B16" s="12">
        <v>3415</v>
      </c>
      <c r="C16" s="1" t="s">
        <v>35</v>
      </c>
      <c r="D16" s="1" t="s">
        <v>34</v>
      </c>
      <c r="E16" s="1" t="s">
        <v>36</v>
      </c>
      <c r="F16" s="9">
        <v>2900</v>
      </c>
      <c r="G16" s="40">
        <v>1608</v>
      </c>
      <c r="H16" s="40">
        <v>1608</v>
      </c>
      <c r="I16" s="23">
        <f t="shared" si="1"/>
        <v>0</v>
      </c>
      <c r="J16" s="23">
        <v>20</v>
      </c>
      <c r="K16" s="10">
        <v>20</v>
      </c>
      <c r="L16" s="11">
        <f t="shared" si="2"/>
        <v>120</v>
      </c>
      <c r="M16" s="58">
        <v>1562</v>
      </c>
      <c r="N16" s="58">
        <v>1575</v>
      </c>
      <c r="O16" s="12">
        <f t="shared" si="3"/>
        <v>13</v>
      </c>
      <c r="P16" s="12">
        <v>9</v>
      </c>
      <c r="Q16" s="12">
        <v>20</v>
      </c>
      <c r="R16" s="11">
        <f t="shared" si="4"/>
        <v>137</v>
      </c>
      <c r="S16" s="12" t="s">
        <v>29</v>
      </c>
      <c r="T16" s="12"/>
      <c r="U16" s="11">
        <f t="shared" si="0"/>
        <v>3157</v>
      </c>
      <c r="V16" s="89"/>
      <c r="W16" s="44"/>
      <c r="X16" s="40"/>
      <c r="Y16" s="40"/>
    </row>
    <row r="17" spans="1:25" s="1" customFormat="1" x14ac:dyDescent="0.4">
      <c r="A17" s="90" t="s">
        <v>33</v>
      </c>
      <c r="B17" s="12">
        <v>3416</v>
      </c>
      <c r="C17" s="1" t="s">
        <v>35</v>
      </c>
      <c r="D17" s="1" t="s">
        <v>34</v>
      </c>
      <c r="E17" s="1" t="s">
        <v>36</v>
      </c>
      <c r="F17" s="9">
        <v>2200</v>
      </c>
      <c r="G17" s="40">
        <v>992</v>
      </c>
      <c r="H17" s="40">
        <v>995</v>
      </c>
      <c r="I17" s="23">
        <f t="shared" si="1"/>
        <v>3</v>
      </c>
      <c r="J17" s="23">
        <v>20</v>
      </c>
      <c r="K17" s="10">
        <v>20</v>
      </c>
      <c r="L17" s="11">
        <f t="shared" si="2"/>
        <v>120</v>
      </c>
      <c r="M17" s="58">
        <v>551</v>
      </c>
      <c r="N17" s="58">
        <v>577</v>
      </c>
      <c r="O17" s="12">
        <f t="shared" si="3"/>
        <v>26</v>
      </c>
      <c r="P17" s="12">
        <v>9</v>
      </c>
      <c r="Q17" s="12">
        <v>20</v>
      </c>
      <c r="R17" s="11">
        <f t="shared" si="4"/>
        <v>254</v>
      </c>
      <c r="S17" s="12"/>
      <c r="T17" s="12"/>
      <c r="U17" s="11">
        <f t="shared" si="0"/>
        <v>2574</v>
      </c>
      <c r="V17" s="89"/>
      <c r="W17" s="44"/>
      <c r="X17" s="89"/>
      <c r="Y17" s="40"/>
    </row>
    <row r="18" spans="1:25" x14ac:dyDescent="0.4">
      <c r="A18" s="90" t="s">
        <v>33</v>
      </c>
      <c r="B18" s="12">
        <v>3417</v>
      </c>
      <c r="C18" s="1" t="s">
        <v>35</v>
      </c>
      <c r="D18" s="1" t="s">
        <v>34</v>
      </c>
      <c r="E18" s="1" t="s">
        <v>36</v>
      </c>
      <c r="F18" s="9">
        <v>2900</v>
      </c>
      <c r="G18" s="40">
        <v>1763</v>
      </c>
      <c r="H18" s="40">
        <v>1774</v>
      </c>
      <c r="I18" s="23">
        <f t="shared" si="1"/>
        <v>11</v>
      </c>
      <c r="J18" s="23">
        <v>20</v>
      </c>
      <c r="K18" s="6">
        <v>20</v>
      </c>
      <c r="L18" s="11">
        <f t="shared" si="2"/>
        <v>240</v>
      </c>
      <c r="M18" s="58">
        <v>265</v>
      </c>
      <c r="N18" s="58">
        <v>278</v>
      </c>
      <c r="O18" s="12">
        <f t="shared" si="3"/>
        <v>13</v>
      </c>
      <c r="P18" s="12">
        <v>9</v>
      </c>
      <c r="Q18" s="5">
        <v>20</v>
      </c>
      <c r="R18" s="11">
        <f t="shared" si="4"/>
        <v>137</v>
      </c>
      <c r="S18" s="57"/>
      <c r="T18" s="12"/>
      <c r="U18" s="11">
        <f t="shared" si="0"/>
        <v>3277</v>
      </c>
      <c r="V18" s="91"/>
      <c r="W18" s="44"/>
      <c r="X18" s="40"/>
      <c r="Y18" s="40"/>
    </row>
    <row r="19" spans="1:25" x14ac:dyDescent="0.4">
      <c r="A19" s="90" t="s">
        <v>33</v>
      </c>
      <c r="B19" s="12">
        <v>3418</v>
      </c>
      <c r="C19" s="1" t="s">
        <v>35</v>
      </c>
      <c r="D19" s="1" t="s">
        <v>34</v>
      </c>
      <c r="E19" s="1" t="s">
        <v>36</v>
      </c>
      <c r="F19" s="9">
        <v>3500</v>
      </c>
      <c r="G19" s="40">
        <v>2216</v>
      </c>
      <c r="H19" s="40">
        <v>2223</v>
      </c>
      <c r="I19" s="23">
        <f t="shared" si="1"/>
        <v>7</v>
      </c>
      <c r="J19" s="23">
        <v>20</v>
      </c>
      <c r="K19" s="10">
        <v>20</v>
      </c>
      <c r="L19" s="11">
        <f t="shared" si="2"/>
        <v>160</v>
      </c>
      <c r="M19" s="58">
        <v>780</v>
      </c>
      <c r="N19" s="58">
        <v>816</v>
      </c>
      <c r="O19" s="12">
        <f t="shared" si="3"/>
        <v>36</v>
      </c>
      <c r="P19" s="12">
        <v>9</v>
      </c>
      <c r="Q19" s="12">
        <v>20</v>
      </c>
      <c r="R19" s="11">
        <f t="shared" si="4"/>
        <v>344</v>
      </c>
      <c r="S19" s="44"/>
      <c r="T19" s="12"/>
      <c r="U19" s="11">
        <f t="shared" si="0"/>
        <v>4004</v>
      </c>
      <c r="V19" s="89"/>
      <c r="W19" s="44"/>
      <c r="X19" s="55"/>
      <c r="Y19" s="40"/>
    </row>
    <row r="20" spans="1:25" s="1" customFormat="1" x14ac:dyDescent="0.4">
      <c r="A20" s="90" t="s">
        <v>33</v>
      </c>
      <c r="B20" s="12">
        <v>3419</v>
      </c>
      <c r="C20" s="1" t="s">
        <v>35</v>
      </c>
      <c r="D20" s="1" t="s">
        <v>34</v>
      </c>
      <c r="E20" s="1" t="s">
        <v>36</v>
      </c>
      <c r="F20" s="9">
        <v>2400</v>
      </c>
      <c r="G20" s="40">
        <v>1657</v>
      </c>
      <c r="H20" s="40">
        <v>1670</v>
      </c>
      <c r="I20" s="23">
        <f t="shared" si="1"/>
        <v>13</v>
      </c>
      <c r="J20" s="23">
        <v>20</v>
      </c>
      <c r="K20" s="10">
        <v>20</v>
      </c>
      <c r="L20" s="11">
        <f t="shared" si="2"/>
        <v>280</v>
      </c>
      <c r="M20" s="58">
        <v>8402</v>
      </c>
      <c r="N20" s="58">
        <v>8467</v>
      </c>
      <c r="O20" s="12">
        <f t="shared" si="3"/>
        <v>65</v>
      </c>
      <c r="P20" s="12">
        <v>9</v>
      </c>
      <c r="Q20" s="12">
        <v>20</v>
      </c>
      <c r="R20" s="11">
        <f t="shared" si="4"/>
        <v>605</v>
      </c>
      <c r="S20" s="12"/>
      <c r="T20" s="12"/>
      <c r="U20" s="11">
        <f t="shared" si="0"/>
        <v>3285</v>
      </c>
      <c r="V20" s="91"/>
      <c r="W20" s="44"/>
      <c r="X20" s="40"/>
      <c r="Y20" s="40"/>
    </row>
    <row r="21" spans="1:25" x14ac:dyDescent="0.4">
      <c r="A21" s="90" t="s">
        <v>33</v>
      </c>
      <c r="B21" s="12">
        <v>3420</v>
      </c>
      <c r="C21" s="1" t="s">
        <v>35</v>
      </c>
      <c r="D21" s="1" t="s">
        <v>34</v>
      </c>
      <c r="E21" s="1" t="s">
        <v>36</v>
      </c>
      <c r="F21" s="9">
        <v>2900</v>
      </c>
      <c r="G21" s="40">
        <v>1820</v>
      </c>
      <c r="H21" s="40">
        <v>1836</v>
      </c>
      <c r="I21" s="23">
        <f t="shared" si="1"/>
        <v>16</v>
      </c>
      <c r="J21" s="23">
        <v>20</v>
      </c>
      <c r="K21" s="10">
        <v>20</v>
      </c>
      <c r="L21" s="11">
        <f t="shared" si="2"/>
        <v>340</v>
      </c>
      <c r="M21" s="58">
        <v>2016</v>
      </c>
      <c r="N21" s="58">
        <v>2120</v>
      </c>
      <c r="O21" s="12">
        <f t="shared" si="3"/>
        <v>104</v>
      </c>
      <c r="P21" s="12">
        <v>9</v>
      </c>
      <c r="Q21" s="12">
        <v>20</v>
      </c>
      <c r="R21" s="11">
        <f t="shared" si="4"/>
        <v>956</v>
      </c>
      <c r="S21" s="12"/>
      <c r="T21" s="12"/>
      <c r="U21" s="11">
        <f t="shared" si="0"/>
        <v>4196</v>
      </c>
      <c r="V21" s="40"/>
      <c r="W21" s="44"/>
      <c r="X21" s="40"/>
      <c r="Y21" s="40"/>
    </row>
    <row r="22" spans="1:25" x14ac:dyDescent="0.4">
      <c r="A22" s="90" t="s">
        <v>33</v>
      </c>
      <c r="B22" s="12">
        <v>3421</v>
      </c>
      <c r="C22" s="1" t="s">
        <v>35</v>
      </c>
      <c r="D22" s="1" t="s">
        <v>34</v>
      </c>
      <c r="E22" s="1" t="s">
        <v>36</v>
      </c>
      <c r="F22" s="9">
        <v>2500</v>
      </c>
      <c r="G22" s="40">
        <v>2259</v>
      </c>
      <c r="H22" s="40">
        <v>2262</v>
      </c>
      <c r="I22" s="23">
        <f t="shared" si="1"/>
        <v>3</v>
      </c>
      <c r="J22" s="23">
        <v>20</v>
      </c>
      <c r="K22" s="10">
        <v>20</v>
      </c>
      <c r="L22" s="11">
        <f t="shared" si="2"/>
        <v>120</v>
      </c>
      <c r="M22" s="58">
        <v>520</v>
      </c>
      <c r="N22" s="58">
        <v>553</v>
      </c>
      <c r="O22" s="12">
        <f t="shared" si="3"/>
        <v>33</v>
      </c>
      <c r="P22" s="12">
        <v>9</v>
      </c>
      <c r="Q22" s="12">
        <v>20</v>
      </c>
      <c r="R22" s="11">
        <f t="shared" si="4"/>
        <v>317</v>
      </c>
      <c r="S22" s="12" t="s">
        <v>29</v>
      </c>
      <c r="T22" s="12"/>
      <c r="U22" s="11">
        <f t="shared" si="0"/>
        <v>2937</v>
      </c>
      <c r="V22" s="91"/>
      <c r="W22" s="44"/>
      <c r="X22" s="57"/>
      <c r="Y22" s="40"/>
    </row>
    <row r="23" spans="1:25" s="1" customFormat="1" x14ac:dyDescent="0.4">
      <c r="A23" s="90" t="s">
        <v>33</v>
      </c>
      <c r="B23" s="12">
        <v>3422</v>
      </c>
      <c r="C23" s="1" t="s">
        <v>35</v>
      </c>
      <c r="D23" s="1" t="s">
        <v>34</v>
      </c>
      <c r="E23" s="1" t="s">
        <v>36</v>
      </c>
      <c r="F23" s="9">
        <v>2900</v>
      </c>
      <c r="G23" s="40">
        <v>51</v>
      </c>
      <c r="H23" s="40">
        <v>59</v>
      </c>
      <c r="I23" s="23">
        <f t="shared" si="1"/>
        <v>8</v>
      </c>
      <c r="J23" s="23">
        <v>20</v>
      </c>
      <c r="K23" s="10">
        <v>20</v>
      </c>
      <c r="L23" s="11">
        <f t="shared" si="2"/>
        <v>180</v>
      </c>
      <c r="M23" s="58">
        <v>1118</v>
      </c>
      <c r="N23" s="58">
        <v>1211</v>
      </c>
      <c r="O23" s="12">
        <f>(N23-M23)</f>
        <v>93</v>
      </c>
      <c r="P23" s="12">
        <v>9</v>
      </c>
      <c r="Q23" s="12">
        <v>20</v>
      </c>
      <c r="R23" s="11">
        <f t="shared" si="4"/>
        <v>857</v>
      </c>
      <c r="S23" s="12"/>
      <c r="T23" s="12"/>
      <c r="U23" s="11">
        <f t="shared" si="0"/>
        <v>3937</v>
      </c>
      <c r="V23" s="91"/>
      <c r="W23" s="91"/>
      <c r="X23" s="40"/>
      <c r="Y23" s="40"/>
    </row>
    <row r="24" spans="1:25" s="1" customFormat="1" x14ac:dyDescent="0.4">
      <c r="A24" s="90" t="s">
        <v>33</v>
      </c>
      <c r="B24" s="12">
        <v>3423</v>
      </c>
      <c r="C24" s="1" t="s">
        <v>35</v>
      </c>
      <c r="D24" s="1" t="s">
        <v>34</v>
      </c>
      <c r="E24" s="1" t="s">
        <v>36</v>
      </c>
      <c r="F24" s="9">
        <v>2400</v>
      </c>
      <c r="G24" s="40">
        <v>1336</v>
      </c>
      <c r="H24" s="40">
        <v>1339</v>
      </c>
      <c r="I24" s="23">
        <f t="shared" si="1"/>
        <v>3</v>
      </c>
      <c r="J24" s="23">
        <v>20</v>
      </c>
      <c r="K24" s="10">
        <v>20</v>
      </c>
      <c r="L24" s="11">
        <f t="shared" si="2"/>
        <v>120</v>
      </c>
      <c r="M24" s="58">
        <v>8829</v>
      </c>
      <c r="N24" s="58">
        <v>8897</v>
      </c>
      <c r="O24" s="12">
        <f t="shared" si="3"/>
        <v>68</v>
      </c>
      <c r="P24" s="12">
        <v>9</v>
      </c>
      <c r="Q24" s="12">
        <v>20</v>
      </c>
      <c r="R24" s="11">
        <f t="shared" si="4"/>
        <v>632</v>
      </c>
      <c r="S24" s="12"/>
      <c r="T24" s="12"/>
      <c r="U24" s="11">
        <f t="shared" si="0"/>
        <v>3152</v>
      </c>
      <c r="V24" s="91"/>
      <c r="W24" s="44"/>
      <c r="X24" s="40"/>
      <c r="Y24" s="40"/>
    </row>
    <row r="25" spans="1:25" x14ac:dyDescent="0.4">
      <c r="A25" s="90" t="s">
        <v>33</v>
      </c>
      <c r="B25" s="12">
        <v>3424</v>
      </c>
      <c r="C25" s="1" t="s">
        <v>35</v>
      </c>
      <c r="D25" s="1" t="s">
        <v>34</v>
      </c>
      <c r="E25" s="1" t="s">
        <v>36</v>
      </c>
      <c r="F25" s="9">
        <v>2900</v>
      </c>
      <c r="G25" s="40">
        <v>1506</v>
      </c>
      <c r="H25" s="40">
        <v>1518</v>
      </c>
      <c r="I25" s="23">
        <f t="shared" si="1"/>
        <v>12</v>
      </c>
      <c r="J25" s="23">
        <v>20</v>
      </c>
      <c r="K25" s="10">
        <v>20</v>
      </c>
      <c r="L25" s="11">
        <f t="shared" si="2"/>
        <v>260</v>
      </c>
      <c r="M25" s="58">
        <v>2328</v>
      </c>
      <c r="N25" s="58">
        <v>2395</v>
      </c>
      <c r="O25" s="12">
        <f t="shared" si="3"/>
        <v>67</v>
      </c>
      <c r="P25" s="12">
        <v>9</v>
      </c>
      <c r="Q25" s="12">
        <v>20</v>
      </c>
      <c r="R25" s="11">
        <f t="shared" si="4"/>
        <v>623</v>
      </c>
      <c r="S25" s="12"/>
      <c r="T25" s="12"/>
      <c r="U25" s="11">
        <f t="shared" si="0"/>
        <v>3783</v>
      </c>
      <c r="V25" s="89"/>
      <c r="W25" s="44"/>
      <c r="X25" s="40"/>
      <c r="Y25" s="40"/>
    </row>
    <row r="26" spans="1:25" s="1" customFormat="1" x14ac:dyDescent="0.4">
      <c r="A26" s="90" t="s">
        <v>33</v>
      </c>
      <c r="B26" s="12">
        <v>3425</v>
      </c>
      <c r="C26" s="1" t="s">
        <v>35</v>
      </c>
      <c r="D26" s="1" t="s">
        <v>34</v>
      </c>
      <c r="E26" s="1" t="s">
        <v>36</v>
      </c>
      <c r="F26" s="9">
        <v>2400</v>
      </c>
      <c r="G26" s="40">
        <v>1278</v>
      </c>
      <c r="H26" s="40">
        <v>1281</v>
      </c>
      <c r="I26" s="23">
        <f t="shared" si="1"/>
        <v>3</v>
      </c>
      <c r="J26" s="23">
        <v>20</v>
      </c>
      <c r="K26" s="10">
        <v>20</v>
      </c>
      <c r="L26" s="11">
        <f t="shared" si="2"/>
        <v>120</v>
      </c>
      <c r="M26" s="58">
        <v>63</v>
      </c>
      <c r="N26" s="58">
        <v>90</v>
      </c>
      <c r="O26" s="12">
        <f t="shared" si="3"/>
        <v>27</v>
      </c>
      <c r="P26" s="12">
        <v>9</v>
      </c>
      <c r="Q26" s="12">
        <v>20</v>
      </c>
      <c r="R26" s="11">
        <f t="shared" si="4"/>
        <v>263</v>
      </c>
      <c r="S26" s="12"/>
      <c r="T26" s="12"/>
      <c r="U26" s="11">
        <f t="shared" si="0"/>
        <v>2783</v>
      </c>
      <c r="V26" s="91"/>
      <c r="W26" s="44"/>
      <c r="X26" s="40"/>
      <c r="Y26" s="40"/>
    </row>
    <row r="27" spans="1:25" s="1" customFormat="1" x14ac:dyDescent="0.4">
      <c r="A27" s="90" t="s">
        <v>33</v>
      </c>
      <c r="B27" s="12">
        <v>3426</v>
      </c>
      <c r="C27" s="1" t="s">
        <v>35</v>
      </c>
      <c r="D27" s="1" t="s">
        <v>34</v>
      </c>
      <c r="E27" s="1" t="s">
        <v>36</v>
      </c>
      <c r="F27" s="9">
        <v>2900</v>
      </c>
      <c r="G27" s="40">
        <v>1183</v>
      </c>
      <c r="H27" s="40">
        <v>1188</v>
      </c>
      <c r="I27" s="23">
        <f t="shared" si="1"/>
        <v>5</v>
      </c>
      <c r="J27" s="23">
        <v>20</v>
      </c>
      <c r="K27" s="10">
        <v>20</v>
      </c>
      <c r="L27" s="11">
        <f t="shared" si="2"/>
        <v>120</v>
      </c>
      <c r="M27" s="58">
        <v>72</v>
      </c>
      <c r="N27" s="58">
        <v>103</v>
      </c>
      <c r="O27" s="12">
        <f t="shared" si="3"/>
        <v>31</v>
      </c>
      <c r="P27" s="12">
        <v>9</v>
      </c>
      <c r="Q27" s="12">
        <v>20</v>
      </c>
      <c r="R27" s="11">
        <f t="shared" si="4"/>
        <v>299</v>
      </c>
      <c r="S27" s="12"/>
      <c r="T27" s="12"/>
      <c r="U27" s="11">
        <f t="shared" si="0"/>
        <v>3319</v>
      </c>
      <c r="V27" s="91"/>
      <c r="W27" s="44"/>
      <c r="X27" s="40"/>
      <c r="Y27" s="40"/>
    </row>
    <row r="28" spans="1:25" s="1" customFormat="1" x14ac:dyDescent="0.4">
      <c r="A28" s="90" t="s">
        <v>33</v>
      </c>
      <c r="B28" s="12">
        <v>3427</v>
      </c>
      <c r="C28" s="1" t="s">
        <v>35</v>
      </c>
      <c r="D28" s="1" t="s">
        <v>34</v>
      </c>
      <c r="E28" s="1" t="s">
        <v>36</v>
      </c>
      <c r="F28" s="9">
        <v>2900</v>
      </c>
      <c r="G28" s="40">
        <v>25</v>
      </c>
      <c r="H28" s="40">
        <v>27</v>
      </c>
      <c r="I28" s="23">
        <f t="shared" si="1"/>
        <v>2</v>
      </c>
      <c r="J28" s="23">
        <v>20</v>
      </c>
      <c r="K28" s="10">
        <v>20</v>
      </c>
      <c r="L28" s="11">
        <f t="shared" si="2"/>
        <v>120</v>
      </c>
      <c r="M28" s="58">
        <v>766</v>
      </c>
      <c r="N28" s="58">
        <v>803</v>
      </c>
      <c r="O28" s="12">
        <f t="shared" si="3"/>
        <v>37</v>
      </c>
      <c r="P28" s="12">
        <v>9</v>
      </c>
      <c r="Q28" s="12">
        <v>20</v>
      </c>
      <c r="R28" s="11">
        <f t="shared" si="4"/>
        <v>353</v>
      </c>
      <c r="S28" s="12" t="s">
        <v>29</v>
      </c>
      <c r="T28" s="12"/>
      <c r="U28" s="11">
        <f t="shared" si="0"/>
        <v>3373</v>
      </c>
      <c r="V28" s="91"/>
      <c r="W28" s="44"/>
      <c r="X28" s="40"/>
      <c r="Y28" s="40"/>
    </row>
    <row r="29" spans="1:25" s="1" customFormat="1" x14ac:dyDescent="0.4">
      <c r="A29" s="90" t="s">
        <v>33</v>
      </c>
      <c r="B29" s="12">
        <v>3428</v>
      </c>
      <c r="C29" s="1" t="s">
        <v>35</v>
      </c>
      <c r="D29" s="1" t="s">
        <v>34</v>
      </c>
      <c r="E29" s="1" t="s">
        <v>36</v>
      </c>
      <c r="F29" s="9">
        <v>2400</v>
      </c>
      <c r="G29" s="40">
        <v>1497</v>
      </c>
      <c r="H29" s="40">
        <v>1507</v>
      </c>
      <c r="I29" s="23">
        <f t="shared" si="1"/>
        <v>10</v>
      </c>
      <c r="J29" s="23">
        <v>20</v>
      </c>
      <c r="K29" s="10">
        <v>20</v>
      </c>
      <c r="L29" s="11">
        <f t="shared" si="2"/>
        <v>220</v>
      </c>
      <c r="M29" s="58">
        <v>793</v>
      </c>
      <c r="N29" s="58">
        <v>878</v>
      </c>
      <c r="O29" s="12">
        <f t="shared" si="3"/>
        <v>85</v>
      </c>
      <c r="P29" s="12">
        <v>9</v>
      </c>
      <c r="Q29" s="12">
        <v>20</v>
      </c>
      <c r="R29" s="11">
        <f t="shared" si="4"/>
        <v>785</v>
      </c>
      <c r="S29" s="12"/>
      <c r="T29" s="12"/>
      <c r="U29" s="11">
        <f t="shared" si="0"/>
        <v>3405</v>
      </c>
      <c r="V29" s="91"/>
      <c r="W29" s="44"/>
      <c r="X29" s="40"/>
      <c r="Y29" s="40"/>
    </row>
    <row r="30" spans="1:25" x14ac:dyDescent="0.4">
      <c r="A30" s="90" t="s">
        <v>33</v>
      </c>
      <c r="B30" s="12">
        <v>3429</v>
      </c>
      <c r="C30" s="1" t="s">
        <v>35</v>
      </c>
      <c r="D30" s="1" t="s">
        <v>34</v>
      </c>
      <c r="E30" s="1" t="s">
        <v>36</v>
      </c>
      <c r="F30" s="9">
        <v>2900</v>
      </c>
      <c r="G30" s="40">
        <v>79</v>
      </c>
      <c r="H30" s="40">
        <v>88</v>
      </c>
      <c r="I30" s="23">
        <f t="shared" si="1"/>
        <v>9</v>
      </c>
      <c r="J30" s="23">
        <v>20</v>
      </c>
      <c r="K30" s="10">
        <v>20</v>
      </c>
      <c r="L30" s="11">
        <f t="shared" si="2"/>
        <v>200</v>
      </c>
      <c r="M30" s="58">
        <v>949</v>
      </c>
      <c r="N30" s="58">
        <v>990</v>
      </c>
      <c r="O30" s="12">
        <f t="shared" si="3"/>
        <v>41</v>
      </c>
      <c r="P30" s="12">
        <v>9</v>
      </c>
      <c r="Q30" s="12">
        <v>20</v>
      </c>
      <c r="R30" s="11">
        <f t="shared" si="4"/>
        <v>389</v>
      </c>
      <c r="S30" s="12" t="s">
        <v>29</v>
      </c>
      <c r="T30" s="12"/>
      <c r="U30" s="11">
        <f t="shared" si="0"/>
        <v>3489</v>
      </c>
      <c r="V30" s="40"/>
      <c r="W30" s="44"/>
      <c r="X30" s="40"/>
      <c r="Y30" s="40"/>
    </row>
    <row r="31" spans="1:25" s="1" customFormat="1" ht="15.95" customHeight="1" x14ac:dyDescent="0.4">
      <c r="A31" s="90" t="s">
        <v>33</v>
      </c>
      <c r="B31" s="12">
        <v>3430</v>
      </c>
      <c r="C31" s="1" t="s">
        <v>35</v>
      </c>
      <c r="D31" s="1" t="s">
        <v>34</v>
      </c>
      <c r="E31" s="1" t="s">
        <v>36</v>
      </c>
      <c r="F31" s="9">
        <v>2900</v>
      </c>
      <c r="G31" s="40">
        <v>1708</v>
      </c>
      <c r="H31" s="40">
        <v>1717</v>
      </c>
      <c r="I31" s="23">
        <f t="shared" si="1"/>
        <v>9</v>
      </c>
      <c r="J31" s="23">
        <v>20</v>
      </c>
      <c r="K31" s="10">
        <v>20</v>
      </c>
      <c r="L31" s="11">
        <f t="shared" si="2"/>
        <v>200</v>
      </c>
      <c r="M31" s="58">
        <v>328</v>
      </c>
      <c r="N31" s="58">
        <v>379</v>
      </c>
      <c r="O31" s="12">
        <f t="shared" si="3"/>
        <v>51</v>
      </c>
      <c r="P31" s="12">
        <v>9</v>
      </c>
      <c r="Q31" s="12">
        <v>20</v>
      </c>
      <c r="R31" s="11">
        <f t="shared" si="4"/>
        <v>479</v>
      </c>
      <c r="S31" s="12"/>
      <c r="T31" s="12"/>
      <c r="U31" s="11">
        <f t="shared" si="0"/>
        <v>3579</v>
      </c>
      <c r="V31" s="91"/>
      <c r="W31" s="44"/>
      <c r="X31" s="40"/>
      <c r="Y31" s="40"/>
    </row>
    <row r="32" spans="1:25" ht="15" customHeight="1" x14ac:dyDescent="0.4">
      <c r="A32" s="90" t="s">
        <v>33</v>
      </c>
      <c r="B32" s="12">
        <v>3431</v>
      </c>
      <c r="C32" s="1" t="s">
        <v>35</v>
      </c>
      <c r="D32" s="1" t="s">
        <v>34</v>
      </c>
      <c r="E32" s="1" t="s">
        <v>36</v>
      </c>
      <c r="F32" s="9">
        <v>2400</v>
      </c>
      <c r="G32" s="40">
        <v>1121</v>
      </c>
      <c r="H32" s="40">
        <v>1136</v>
      </c>
      <c r="I32" s="23">
        <f t="shared" si="1"/>
        <v>15</v>
      </c>
      <c r="J32" s="23">
        <v>20</v>
      </c>
      <c r="K32" s="10">
        <v>20</v>
      </c>
      <c r="L32" s="11">
        <f t="shared" si="2"/>
        <v>320</v>
      </c>
      <c r="M32" s="58">
        <v>1709</v>
      </c>
      <c r="N32" s="58">
        <v>1757</v>
      </c>
      <c r="O32" s="12">
        <f t="shared" si="3"/>
        <v>48</v>
      </c>
      <c r="P32" s="12">
        <v>9</v>
      </c>
      <c r="Q32" s="12">
        <v>20</v>
      </c>
      <c r="R32" s="11">
        <f t="shared" si="4"/>
        <v>452</v>
      </c>
      <c r="S32" s="12"/>
      <c r="T32" s="12"/>
      <c r="U32" s="11">
        <f t="shared" si="0"/>
        <v>3172</v>
      </c>
      <c r="V32" s="91"/>
      <c r="W32" s="44"/>
      <c r="X32" s="40"/>
      <c r="Y32" s="40"/>
    </row>
    <row r="33" spans="1:25" s="1" customFormat="1" ht="15.95" customHeight="1" x14ac:dyDescent="0.4">
      <c r="A33" s="90" t="s">
        <v>33</v>
      </c>
      <c r="B33" s="12">
        <v>3432</v>
      </c>
      <c r="C33" s="1" t="s">
        <v>35</v>
      </c>
      <c r="D33" s="1" t="s">
        <v>34</v>
      </c>
      <c r="E33" s="1" t="s">
        <v>36</v>
      </c>
      <c r="F33" s="9">
        <v>2400</v>
      </c>
      <c r="G33" s="40">
        <v>760</v>
      </c>
      <c r="H33" s="40">
        <v>770</v>
      </c>
      <c r="I33" s="23">
        <f t="shared" si="1"/>
        <v>10</v>
      </c>
      <c r="J33" s="23">
        <v>20</v>
      </c>
      <c r="K33" s="10">
        <v>20</v>
      </c>
      <c r="L33" s="11">
        <f t="shared" si="2"/>
        <v>220</v>
      </c>
      <c r="M33" s="58">
        <v>3541</v>
      </c>
      <c r="N33" s="58">
        <v>3593</v>
      </c>
      <c r="O33" s="12">
        <f t="shared" si="3"/>
        <v>52</v>
      </c>
      <c r="P33" s="12">
        <v>9</v>
      </c>
      <c r="Q33" s="12">
        <v>20</v>
      </c>
      <c r="R33" s="11">
        <f t="shared" si="4"/>
        <v>488</v>
      </c>
      <c r="S33" s="12"/>
      <c r="T33" s="12"/>
      <c r="U33" s="11">
        <f t="shared" si="0"/>
        <v>3108</v>
      </c>
      <c r="V33" s="91"/>
      <c r="W33" s="44"/>
      <c r="X33" s="40"/>
      <c r="Y33" s="40"/>
    </row>
    <row r="34" spans="1:25" s="15" customFormat="1" x14ac:dyDescent="0.4">
      <c r="A34" s="55"/>
      <c r="B34" s="89"/>
      <c r="C34" s="55"/>
      <c r="D34" s="55"/>
      <c r="E34" s="55"/>
      <c r="F34" s="92"/>
      <c r="G34" s="89"/>
      <c r="H34" s="89"/>
      <c r="I34" s="92"/>
      <c r="J34" s="17"/>
      <c r="L34" s="93"/>
      <c r="M34" s="89"/>
      <c r="N34" s="89"/>
      <c r="O34" s="89"/>
      <c r="R34" s="93"/>
      <c r="S34" s="93"/>
      <c r="T34" s="93"/>
      <c r="U34" s="93"/>
      <c r="V34" s="94"/>
      <c r="W34" s="44"/>
      <c r="X34" s="89"/>
      <c r="Y34" s="89"/>
    </row>
    <row r="35" spans="1:25" x14ac:dyDescent="0.4">
      <c r="A35" s="95"/>
      <c r="B35" s="40"/>
      <c r="C35" s="96"/>
      <c r="D35" s="96"/>
      <c r="E35" s="96"/>
      <c r="F35" s="40"/>
      <c r="G35" s="40"/>
      <c r="H35" s="40"/>
      <c r="I35" s="40"/>
      <c r="J35" s="1"/>
      <c r="L35" s="40"/>
      <c r="M35" s="40"/>
      <c r="N35" s="40"/>
      <c r="O35" s="40"/>
      <c r="P35" s="1"/>
      <c r="R35" s="40"/>
      <c r="S35" s="40"/>
      <c r="T35" s="40"/>
      <c r="U35" s="40"/>
      <c r="V35" s="40"/>
      <c r="W35" s="44"/>
      <c r="X35" s="40"/>
      <c r="Y35" s="40"/>
    </row>
  </sheetData>
  <phoneticPr fontId="12" type="noConversion"/>
  <conditionalFormatting sqref="U2:U1048576">
    <cfRule type="duplicateValues" dxfId="16" priority="5"/>
    <cfRule type="duplicateValues" dxfId="15" priority="6"/>
  </conditionalFormatting>
  <conditionalFormatting sqref="U2:U33">
    <cfRule type="duplicateValues" dxfId="14" priority="4"/>
  </conditionalFormatting>
  <pageMargins left="0" right="0" top="0" bottom="0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35"/>
  <sheetViews>
    <sheetView zoomScale="95" zoomScaleNormal="95" workbookViewId="0">
      <selection sqref="A1:V1"/>
    </sheetView>
  </sheetViews>
  <sheetFormatPr defaultColWidth="8.75" defaultRowHeight="18" x14ac:dyDescent="0.4"/>
  <cols>
    <col min="1" max="1" width="5.75" style="2" customWidth="1"/>
    <col min="2" max="2" width="4.375" style="3" customWidth="1"/>
    <col min="3" max="3" width="5.875" style="38" customWidth="1"/>
    <col min="4" max="4" width="7.125" style="38" customWidth="1"/>
    <col min="5" max="5" width="11.875" style="39" customWidth="1"/>
    <col min="6" max="6" width="6.125" style="3" customWidth="1"/>
    <col min="7" max="8" width="5.875" style="3" customWidth="1"/>
    <col min="9" max="9" width="6" style="3" customWidth="1"/>
    <col min="10" max="10" width="9.25" style="3" bestFit="1" customWidth="1"/>
    <col min="11" max="11" width="11.875" style="3" bestFit="1" customWidth="1"/>
    <col min="12" max="15" width="5.875" style="3" customWidth="1"/>
    <col min="16" max="16" width="9.25" style="3" bestFit="1" customWidth="1"/>
    <col min="17" max="17" width="11.875" style="3" bestFit="1" customWidth="1"/>
    <col min="18" max="18" width="6.625" style="3" customWidth="1"/>
    <col min="19" max="19" width="5" style="3" customWidth="1"/>
    <col min="20" max="20" width="4.625" style="3" customWidth="1"/>
    <col min="21" max="21" width="7" style="3" customWidth="1"/>
    <col min="22" max="22" width="16.875" style="3" customWidth="1"/>
    <col min="23" max="23" width="3" style="29" customWidth="1"/>
    <col min="24" max="16384" width="8.75" style="3"/>
  </cols>
  <sheetData>
    <row r="1" spans="1:26" ht="19.5" customHeight="1" x14ac:dyDescent="0.4">
      <c r="A1" s="4" t="s">
        <v>0</v>
      </c>
      <c r="B1" s="5" t="s">
        <v>31</v>
      </c>
      <c r="C1" s="4" t="s">
        <v>26</v>
      </c>
      <c r="D1" s="4" t="s">
        <v>27</v>
      </c>
      <c r="E1" s="4" t="s">
        <v>28</v>
      </c>
      <c r="F1" s="73" t="s">
        <v>1</v>
      </c>
      <c r="G1" s="5" t="s">
        <v>2</v>
      </c>
      <c r="H1" s="5" t="s">
        <v>3</v>
      </c>
      <c r="I1" s="5" t="s">
        <v>4</v>
      </c>
      <c r="J1" s="12" t="s">
        <v>38</v>
      </c>
      <c r="K1" s="6" t="s">
        <v>39</v>
      </c>
      <c r="L1" s="7" t="s">
        <v>41</v>
      </c>
      <c r="M1" s="5" t="s">
        <v>5</v>
      </c>
      <c r="N1" s="5" t="s">
        <v>6</v>
      </c>
      <c r="O1" s="5" t="s">
        <v>7</v>
      </c>
      <c r="P1" s="12" t="s">
        <v>37</v>
      </c>
      <c r="Q1" s="5" t="s">
        <v>40</v>
      </c>
      <c r="R1" s="7" t="s">
        <v>42</v>
      </c>
      <c r="S1" s="4" t="s">
        <v>8</v>
      </c>
      <c r="T1" s="4" t="s">
        <v>9</v>
      </c>
      <c r="U1" s="7" t="s">
        <v>10</v>
      </c>
      <c r="V1" s="4" t="s">
        <v>30</v>
      </c>
      <c r="W1" s="28"/>
      <c r="X1" s="1"/>
      <c r="Y1" s="1"/>
      <c r="Z1" s="1"/>
    </row>
    <row r="2" spans="1:26" x14ac:dyDescent="0.4">
      <c r="A2" s="54" t="s">
        <v>33</v>
      </c>
      <c r="B2" s="12">
        <v>3501</v>
      </c>
      <c r="C2" s="1" t="s">
        <v>35</v>
      </c>
      <c r="D2" s="1" t="s">
        <v>34</v>
      </c>
      <c r="E2" s="1" t="s">
        <v>36</v>
      </c>
      <c r="F2" s="9">
        <v>2900</v>
      </c>
      <c r="G2" s="52">
        <v>1212</v>
      </c>
      <c r="H2" s="52">
        <v>1214</v>
      </c>
      <c r="I2" s="23">
        <f>H2-G2</f>
        <v>2</v>
      </c>
      <c r="J2" s="23">
        <v>20</v>
      </c>
      <c r="K2" s="10">
        <v>20</v>
      </c>
      <c r="L2" s="11">
        <f>IF(F2= " "," ",IF(I2*J2+K2&lt;120,120,I2*J2+K2))</f>
        <v>120</v>
      </c>
      <c r="M2" s="52">
        <v>1623</v>
      </c>
      <c r="N2" s="52">
        <v>1670</v>
      </c>
      <c r="O2" s="12">
        <f>N2-M2</f>
        <v>47</v>
      </c>
      <c r="P2" s="12">
        <v>9</v>
      </c>
      <c r="Q2" s="12">
        <v>20</v>
      </c>
      <c r="R2" s="11">
        <f>IF(F2=" "," ",IF(O2*P2+Q2&lt;65,65,O2*P2+Q2))</f>
        <v>443</v>
      </c>
      <c r="S2" s="8"/>
      <c r="T2" s="8"/>
      <c r="U2" s="11">
        <f t="shared" ref="U2:U33" si="0">IF(F2=" ",0,SUM(F2,L2,R2,S2,T2))</f>
        <v>3463</v>
      </c>
      <c r="V2" s="1"/>
      <c r="W2" s="28"/>
      <c r="X2" s="1"/>
      <c r="Y2" s="1"/>
      <c r="Z2" s="1"/>
    </row>
    <row r="3" spans="1:26" x14ac:dyDescent="0.4">
      <c r="A3" s="54" t="s">
        <v>33</v>
      </c>
      <c r="B3" s="12">
        <v>3502</v>
      </c>
      <c r="C3" s="1" t="s">
        <v>35</v>
      </c>
      <c r="D3" s="1" t="s">
        <v>34</v>
      </c>
      <c r="E3" s="1" t="s">
        <v>36</v>
      </c>
      <c r="F3" s="9">
        <v>2900</v>
      </c>
      <c r="G3" s="52">
        <v>84</v>
      </c>
      <c r="H3" s="52">
        <v>92</v>
      </c>
      <c r="I3" s="23">
        <f t="shared" ref="I3:I33" si="1">H3-G3</f>
        <v>8</v>
      </c>
      <c r="J3" s="23">
        <v>20</v>
      </c>
      <c r="K3" s="10">
        <v>20</v>
      </c>
      <c r="L3" s="11">
        <f t="shared" ref="L3:L33" si="2">IF(F3= " "," ",IF(I3*J3+K3&lt;120,120,I3*J3+K3))</f>
        <v>180</v>
      </c>
      <c r="M3" s="52">
        <v>1613</v>
      </c>
      <c r="N3" s="52">
        <v>1787</v>
      </c>
      <c r="O3" s="12">
        <f t="shared" ref="O3:O33" si="3">N3-M3</f>
        <v>174</v>
      </c>
      <c r="P3" s="12">
        <v>9</v>
      </c>
      <c r="Q3" s="12">
        <v>20</v>
      </c>
      <c r="R3" s="11">
        <f t="shared" ref="R3:R33" si="4">IF(F3=" "," ",IF(O3*P3+Q3&lt;65,65,O3*P3+Q3))</f>
        <v>1586</v>
      </c>
      <c r="S3" s="8"/>
      <c r="T3" s="8"/>
      <c r="U3" s="11">
        <f t="shared" si="0"/>
        <v>4666</v>
      </c>
      <c r="V3" s="1"/>
      <c r="W3" s="28"/>
      <c r="X3" s="1"/>
      <c r="Y3" s="1"/>
      <c r="Z3" s="1"/>
    </row>
    <row r="4" spans="1:26" s="1" customFormat="1" x14ac:dyDescent="0.4">
      <c r="A4" s="54" t="s">
        <v>33</v>
      </c>
      <c r="B4" s="12">
        <v>3503</v>
      </c>
      <c r="C4" s="1" t="s">
        <v>35</v>
      </c>
      <c r="D4" s="1" t="s">
        <v>34</v>
      </c>
      <c r="E4" s="1" t="s">
        <v>36</v>
      </c>
      <c r="F4" s="9">
        <v>2900</v>
      </c>
      <c r="G4" s="52">
        <v>1441</v>
      </c>
      <c r="H4" s="52">
        <v>1446</v>
      </c>
      <c r="I4" s="23">
        <f t="shared" si="1"/>
        <v>5</v>
      </c>
      <c r="J4" s="23">
        <v>20</v>
      </c>
      <c r="K4" s="10">
        <v>20</v>
      </c>
      <c r="L4" s="11">
        <f t="shared" si="2"/>
        <v>120</v>
      </c>
      <c r="M4" s="52">
        <v>1875</v>
      </c>
      <c r="N4" s="52">
        <v>1930</v>
      </c>
      <c r="O4" s="12">
        <f t="shared" si="3"/>
        <v>55</v>
      </c>
      <c r="P4" s="12">
        <v>9</v>
      </c>
      <c r="Q4" s="12">
        <v>20</v>
      </c>
      <c r="R4" s="11">
        <f t="shared" si="4"/>
        <v>515</v>
      </c>
      <c r="S4" s="8"/>
      <c r="T4" s="8"/>
      <c r="U4" s="11">
        <f t="shared" si="0"/>
        <v>3535</v>
      </c>
      <c r="V4" s="53"/>
      <c r="W4" s="28"/>
    </row>
    <row r="5" spans="1:26" x14ac:dyDescent="0.4">
      <c r="A5" s="54" t="s">
        <v>33</v>
      </c>
      <c r="B5" s="12">
        <v>3504</v>
      </c>
      <c r="C5" s="1" t="s">
        <v>35</v>
      </c>
      <c r="D5" s="1" t="s">
        <v>34</v>
      </c>
      <c r="E5" s="1" t="s">
        <v>36</v>
      </c>
      <c r="F5" s="9">
        <v>2900</v>
      </c>
      <c r="G5" s="52">
        <v>69</v>
      </c>
      <c r="H5" s="52">
        <v>75</v>
      </c>
      <c r="I5" s="23">
        <f t="shared" si="1"/>
        <v>6</v>
      </c>
      <c r="J5" s="23">
        <v>20</v>
      </c>
      <c r="K5" s="10">
        <v>20</v>
      </c>
      <c r="L5" s="11">
        <f t="shared" si="2"/>
        <v>140</v>
      </c>
      <c r="M5" s="52">
        <v>1032</v>
      </c>
      <c r="N5" s="52">
        <v>1116</v>
      </c>
      <c r="O5" s="12">
        <f t="shared" si="3"/>
        <v>84</v>
      </c>
      <c r="P5" s="12">
        <v>9</v>
      </c>
      <c r="Q5" s="12">
        <v>20</v>
      </c>
      <c r="R5" s="11">
        <f t="shared" si="4"/>
        <v>776</v>
      </c>
      <c r="S5" s="8"/>
      <c r="T5" s="8"/>
      <c r="U5" s="11">
        <f t="shared" si="0"/>
        <v>3816</v>
      </c>
      <c r="V5" s="1"/>
      <c r="W5" s="28"/>
      <c r="X5" s="1"/>
      <c r="Y5" s="1"/>
      <c r="Z5" s="1"/>
    </row>
    <row r="6" spans="1:26" x14ac:dyDescent="0.4">
      <c r="A6" s="54" t="s">
        <v>33</v>
      </c>
      <c r="B6" s="12">
        <v>3505</v>
      </c>
      <c r="C6" s="1" t="s">
        <v>35</v>
      </c>
      <c r="D6" s="1" t="s">
        <v>34</v>
      </c>
      <c r="E6" s="1" t="s">
        <v>36</v>
      </c>
      <c r="F6" s="9">
        <v>2900</v>
      </c>
      <c r="G6" s="52">
        <v>88</v>
      </c>
      <c r="H6" s="52">
        <v>95</v>
      </c>
      <c r="I6" s="23">
        <f t="shared" si="1"/>
        <v>7</v>
      </c>
      <c r="J6" s="23">
        <v>20</v>
      </c>
      <c r="K6" s="10">
        <v>20</v>
      </c>
      <c r="L6" s="11">
        <f t="shared" si="2"/>
        <v>160</v>
      </c>
      <c r="M6" s="52">
        <v>2690</v>
      </c>
      <c r="N6" s="52">
        <v>2777</v>
      </c>
      <c r="O6" s="12">
        <f t="shared" si="3"/>
        <v>87</v>
      </c>
      <c r="P6" s="12">
        <v>9</v>
      </c>
      <c r="Q6" s="12">
        <v>20</v>
      </c>
      <c r="R6" s="11">
        <f t="shared" si="4"/>
        <v>803</v>
      </c>
      <c r="S6" s="8"/>
      <c r="T6" s="8"/>
      <c r="U6" s="11">
        <f t="shared" si="0"/>
        <v>3863</v>
      </c>
      <c r="V6" s="25"/>
      <c r="W6" s="28"/>
      <c r="X6" s="1"/>
      <c r="Y6" s="1"/>
      <c r="Z6" s="1"/>
    </row>
    <row r="7" spans="1:26" s="1" customFormat="1" x14ac:dyDescent="0.4">
      <c r="A7" s="54" t="s">
        <v>33</v>
      </c>
      <c r="B7" s="12">
        <v>3506</v>
      </c>
      <c r="C7" s="1" t="s">
        <v>35</v>
      </c>
      <c r="D7" s="1" t="s">
        <v>34</v>
      </c>
      <c r="E7" s="1" t="s">
        <v>36</v>
      </c>
      <c r="F7" s="9">
        <v>2900</v>
      </c>
      <c r="G7" s="52">
        <v>1684</v>
      </c>
      <c r="H7" s="52">
        <v>1690</v>
      </c>
      <c r="I7" s="23">
        <f>H7-G7</f>
        <v>6</v>
      </c>
      <c r="J7" s="23">
        <v>20</v>
      </c>
      <c r="K7" s="10">
        <v>20</v>
      </c>
      <c r="L7" s="11">
        <f t="shared" si="2"/>
        <v>140</v>
      </c>
      <c r="M7" s="52">
        <v>1400</v>
      </c>
      <c r="N7" s="52">
        <v>1451</v>
      </c>
      <c r="O7" s="12">
        <f>N7-M7</f>
        <v>51</v>
      </c>
      <c r="P7" s="12">
        <v>9</v>
      </c>
      <c r="Q7" s="12">
        <v>20</v>
      </c>
      <c r="R7" s="11">
        <f t="shared" si="4"/>
        <v>479</v>
      </c>
      <c r="S7" s="8"/>
      <c r="T7" s="8"/>
      <c r="U7" s="11">
        <f t="shared" si="0"/>
        <v>3519</v>
      </c>
      <c r="V7" s="25"/>
      <c r="W7" s="28"/>
    </row>
    <row r="8" spans="1:26" x14ac:dyDescent="0.4">
      <c r="A8" s="54" t="s">
        <v>33</v>
      </c>
      <c r="B8" s="12">
        <v>3507</v>
      </c>
      <c r="C8" s="1" t="s">
        <v>35</v>
      </c>
      <c r="D8" s="1" t="s">
        <v>34</v>
      </c>
      <c r="E8" s="1" t="s">
        <v>36</v>
      </c>
      <c r="F8" s="9">
        <v>2900</v>
      </c>
      <c r="G8" s="52">
        <v>1269</v>
      </c>
      <c r="H8" s="52">
        <v>1272</v>
      </c>
      <c r="I8" s="23">
        <f t="shared" si="1"/>
        <v>3</v>
      </c>
      <c r="J8" s="23">
        <v>20</v>
      </c>
      <c r="K8" s="10">
        <v>20</v>
      </c>
      <c r="L8" s="11">
        <f t="shared" si="2"/>
        <v>120</v>
      </c>
      <c r="M8" s="52">
        <v>1199</v>
      </c>
      <c r="N8" s="52">
        <v>1265</v>
      </c>
      <c r="O8" s="12">
        <f t="shared" si="3"/>
        <v>66</v>
      </c>
      <c r="P8" s="12">
        <v>9</v>
      </c>
      <c r="Q8" s="12">
        <v>20</v>
      </c>
      <c r="R8" s="11">
        <f t="shared" si="4"/>
        <v>614</v>
      </c>
      <c r="S8" s="8"/>
      <c r="T8" s="8"/>
      <c r="U8" s="11">
        <f t="shared" si="0"/>
        <v>3634</v>
      </c>
      <c r="V8" s="1"/>
      <c r="W8" s="28"/>
      <c r="X8" s="1"/>
      <c r="Y8" s="1"/>
      <c r="Z8" s="1"/>
    </row>
    <row r="9" spans="1:26" s="22" customFormat="1" x14ac:dyDescent="0.4">
      <c r="A9" s="54" t="s">
        <v>33</v>
      </c>
      <c r="B9" s="5">
        <v>3508</v>
      </c>
      <c r="C9" s="1" t="s">
        <v>35</v>
      </c>
      <c r="D9" s="1" t="s">
        <v>34</v>
      </c>
      <c r="E9" s="1" t="s">
        <v>36</v>
      </c>
      <c r="F9" s="9">
        <v>2900</v>
      </c>
      <c r="G9" s="52">
        <v>35</v>
      </c>
      <c r="H9" s="52">
        <v>40</v>
      </c>
      <c r="I9" s="23">
        <f>H9-G9</f>
        <v>5</v>
      </c>
      <c r="J9" s="23">
        <v>20</v>
      </c>
      <c r="K9" s="10">
        <v>20</v>
      </c>
      <c r="L9" s="11">
        <f t="shared" si="2"/>
        <v>120</v>
      </c>
      <c r="M9" s="52">
        <v>435</v>
      </c>
      <c r="N9" s="52">
        <v>479</v>
      </c>
      <c r="O9" s="12">
        <f t="shared" si="3"/>
        <v>44</v>
      </c>
      <c r="P9" s="12">
        <v>9</v>
      </c>
      <c r="Q9" s="12">
        <v>20</v>
      </c>
      <c r="R9" s="11">
        <f t="shared" si="4"/>
        <v>416</v>
      </c>
      <c r="S9" s="8"/>
      <c r="T9" s="8"/>
      <c r="U9" s="11">
        <f t="shared" si="0"/>
        <v>3436</v>
      </c>
      <c r="V9" s="24"/>
      <c r="W9" s="28"/>
      <c r="X9" s="14"/>
      <c r="Y9" s="14"/>
      <c r="Z9" s="14"/>
    </row>
    <row r="10" spans="1:26" x14ac:dyDescent="0.4">
      <c r="A10" s="54" t="s">
        <v>33</v>
      </c>
      <c r="B10" s="12">
        <v>3509</v>
      </c>
      <c r="C10" s="1" t="s">
        <v>35</v>
      </c>
      <c r="D10" s="1" t="s">
        <v>34</v>
      </c>
      <c r="E10" s="1" t="s">
        <v>36</v>
      </c>
      <c r="F10" s="9">
        <v>2900</v>
      </c>
      <c r="G10" s="52">
        <v>1117</v>
      </c>
      <c r="H10" s="52">
        <v>1120</v>
      </c>
      <c r="I10" s="23">
        <f t="shared" si="1"/>
        <v>3</v>
      </c>
      <c r="J10" s="23">
        <v>20</v>
      </c>
      <c r="K10" s="10">
        <v>20</v>
      </c>
      <c r="L10" s="11">
        <f t="shared" si="2"/>
        <v>120</v>
      </c>
      <c r="M10" s="52">
        <v>1617</v>
      </c>
      <c r="N10" s="52">
        <v>1705</v>
      </c>
      <c r="O10" s="12">
        <f t="shared" si="3"/>
        <v>88</v>
      </c>
      <c r="P10" s="12">
        <v>9</v>
      </c>
      <c r="Q10" s="12">
        <v>20</v>
      </c>
      <c r="R10" s="11">
        <f t="shared" si="4"/>
        <v>812</v>
      </c>
      <c r="S10" s="8"/>
      <c r="T10" s="8"/>
      <c r="U10" s="11">
        <f t="shared" si="0"/>
        <v>3832</v>
      </c>
      <c r="V10" s="1"/>
      <c r="W10" s="28"/>
      <c r="X10" s="1"/>
      <c r="Y10" s="1"/>
      <c r="Z10" s="1"/>
    </row>
    <row r="11" spans="1:26" s="22" customFormat="1" x14ac:dyDescent="0.35">
      <c r="A11" s="54" t="s">
        <v>33</v>
      </c>
      <c r="B11" s="5">
        <v>3510</v>
      </c>
      <c r="C11" s="1" t="s">
        <v>35</v>
      </c>
      <c r="D11" s="1" t="s">
        <v>34</v>
      </c>
      <c r="E11" s="1" t="s">
        <v>36</v>
      </c>
      <c r="F11" s="9">
        <v>2900</v>
      </c>
      <c r="G11" s="52">
        <v>55</v>
      </c>
      <c r="H11" s="52">
        <v>60</v>
      </c>
      <c r="I11" s="23">
        <f t="shared" si="1"/>
        <v>5</v>
      </c>
      <c r="J11" s="23">
        <v>20</v>
      </c>
      <c r="K11" s="10">
        <v>20</v>
      </c>
      <c r="L11" s="11">
        <f t="shared" si="2"/>
        <v>120</v>
      </c>
      <c r="M11" s="52">
        <v>1382</v>
      </c>
      <c r="N11" s="52">
        <v>1511</v>
      </c>
      <c r="O11" s="12">
        <f t="shared" si="3"/>
        <v>129</v>
      </c>
      <c r="P11" s="12">
        <v>9</v>
      </c>
      <c r="Q11" s="12">
        <v>20</v>
      </c>
      <c r="R11" s="11">
        <f t="shared" si="4"/>
        <v>1181</v>
      </c>
      <c r="S11" s="4"/>
      <c r="T11" s="4"/>
      <c r="U11" s="7">
        <f t="shared" si="0"/>
        <v>4201</v>
      </c>
      <c r="V11" s="14"/>
      <c r="W11" s="31"/>
      <c r="X11" s="14"/>
      <c r="Y11" s="14"/>
      <c r="Z11" s="14"/>
    </row>
    <row r="12" spans="1:26" s="1" customFormat="1" x14ac:dyDescent="0.4">
      <c r="A12" s="54" t="s">
        <v>33</v>
      </c>
      <c r="B12" s="12">
        <v>3511</v>
      </c>
      <c r="C12" s="1" t="s">
        <v>35</v>
      </c>
      <c r="D12" s="1" t="s">
        <v>34</v>
      </c>
      <c r="E12" s="1" t="s">
        <v>36</v>
      </c>
      <c r="F12" s="9">
        <v>2900</v>
      </c>
      <c r="G12" s="52">
        <v>1249</v>
      </c>
      <c r="H12" s="52">
        <v>1252</v>
      </c>
      <c r="I12" s="23">
        <f t="shared" si="1"/>
        <v>3</v>
      </c>
      <c r="J12" s="23">
        <v>20</v>
      </c>
      <c r="K12" s="10">
        <v>20</v>
      </c>
      <c r="L12" s="11">
        <f t="shared" si="2"/>
        <v>120</v>
      </c>
      <c r="M12" s="52">
        <v>971</v>
      </c>
      <c r="N12" s="52">
        <v>1028</v>
      </c>
      <c r="O12" s="12">
        <f t="shared" si="3"/>
        <v>57</v>
      </c>
      <c r="P12" s="12">
        <v>9</v>
      </c>
      <c r="Q12" s="12">
        <v>20</v>
      </c>
      <c r="R12" s="11">
        <f t="shared" si="4"/>
        <v>533</v>
      </c>
      <c r="S12" s="8"/>
      <c r="T12" s="8"/>
      <c r="U12" s="7">
        <f t="shared" si="0"/>
        <v>3553</v>
      </c>
      <c r="V12" s="24"/>
      <c r="W12" s="28"/>
    </row>
    <row r="13" spans="1:26" x14ac:dyDescent="0.4">
      <c r="A13" s="54" t="s">
        <v>33</v>
      </c>
      <c r="B13" s="12">
        <v>3512</v>
      </c>
      <c r="C13" s="1" t="s">
        <v>35</v>
      </c>
      <c r="D13" s="1" t="s">
        <v>34</v>
      </c>
      <c r="E13" s="1" t="s">
        <v>36</v>
      </c>
      <c r="F13" s="9">
        <v>2900</v>
      </c>
      <c r="G13" s="52">
        <v>1490</v>
      </c>
      <c r="H13" s="52">
        <v>1495</v>
      </c>
      <c r="I13" s="23">
        <f t="shared" si="1"/>
        <v>5</v>
      </c>
      <c r="J13" s="23">
        <v>20</v>
      </c>
      <c r="K13" s="10">
        <v>20</v>
      </c>
      <c r="L13" s="11">
        <f t="shared" si="2"/>
        <v>120</v>
      </c>
      <c r="M13" s="52">
        <v>827</v>
      </c>
      <c r="N13" s="52">
        <v>869</v>
      </c>
      <c r="O13" s="12">
        <f t="shared" si="3"/>
        <v>42</v>
      </c>
      <c r="P13" s="12">
        <v>9</v>
      </c>
      <c r="Q13" s="12">
        <v>20</v>
      </c>
      <c r="R13" s="11">
        <f t="shared" si="4"/>
        <v>398</v>
      </c>
      <c r="S13" s="8"/>
      <c r="T13" s="8"/>
      <c r="U13" s="7">
        <f t="shared" si="0"/>
        <v>3418</v>
      </c>
      <c r="V13" s="53"/>
      <c r="W13" s="28"/>
      <c r="X13" s="1"/>
      <c r="Y13" s="1"/>
      <c r="Z13" s="1"/>
    </row>
    <row r="14" spans="1:26" s="1" customFormat="1" x14ac:dyDescent="0.4">
      <c r="A14" s="54" t="s">
        <v>33</v>
      </c>
      <c r="B14" s="12">
        <v>3513</v>
      </c>
      <c r="C14" s="1" t="s">
        <v>35</v>
      </c>
      <c r="D14" s="1" t="s">
        <v>34</v>
      </c>
      <c r="E14" s="1" t="s">
        <v>36</v>
      </c>
      <c r="F14" s="9">
        <v>2900</v>
      </c>
      <c r="G14" s="52">
        <v>34</v>
      </c>
      <c r="H14" s="52">
        <v>39</v>
      </c>
      <c r="I14" s="23">
        <f>H14-G14</f>
        <v>5</v>
      </c>
      <c r="J14" s="23">
        <v>20</v>
      </c>
      <c r="K14" s="10">
        <v>20</v>
      </c>
      <c r="L14" s="11">
        <f t="shared" si="2"/>
        <v>120</v>
      </c>
      <c r="M14" s="52">
        <v>1001</v>
      </c>
      <c r="N14" s="52">
        <v>1066</v>
      </c>
      <c r="O14" s="12">
        <f>N14-M14</f>
        <v>65</v>
      </c>
      <c r="P14" s="12">
        <v>9</v>
      </c>
      <c r="Q14" s="12">
        <v>20</v>
      </c>
      <c r="R14" s="11">
        <f t="shared" si="4"/>
        <v>605</v>
      </c>
      <c r="S14" s="8"/>
      <c r="T14" s="8"/>
      <c r="U14" s="11">
        <f t="shared" si="0"/>
        <v>3625</v>
      </c>
      <c r="V14" s="25"/>
      <c r="W14" s="28"/>
    </row>
    <row r="15" spans="1:26" s="1" customFormat="1" x14ac:dyDescent="0.4">
      <c r="A15" s="54" t="s">
        <v>33</v>
      </c>
      <c r="B15" s="44">
        <v>3514</v>
      </c>
      <c r="C15" s="1" t="s">
        <v>35</v>
      </c>
      <c r="D15" s="1" t="s">
        <v>34</v>
      </c>
      <c r="E15" s="1" t="s">
        <v>36</v>
      </c>
      <c r="F15" s="9">
        <v>2900</v>
      </c>
      <c r="G15" s="52">
        <v>42</v>
      </c>
      <c r="H15" s="52">
        <v>46</v>
      </c>
      <c r="I15" s="23">
        <f t="shared" si="1"/>
        <v>4</v>
      </c>
      <c r="J15" s="23">
        <v>20</v>
      </c>
      <c r="K15" s="10">
        <v>20</v>
      </c>
      <c r="L15" s="11">
        <f t="shared" si="2"/>
        <v>120</v>
      </c>
      <c r="M15" s="52">
        <v>694</v>
      </c>
      <c r="N15" s="52">
        <v>732</v>
      </c>
      <c r="O15" s="12">
        <f t="shared" si="3"/>
        <v>38</v>
      </c>
      <c r="P15" s="12">
        <v>9</v>
      </c>
      <c r="Q15" s="12">
        <v>20</v>
      </c>
      <c r="R15" s="11">
        <f t="shared" si="4"/>
        <v>362</v>
      </c>
      <c r="S15" s="57"/>
      <c r="T15" s="12"/>
      <c r="U15" s="7">
        <f t="shared" si="0"/>
        <v>3382</v>
      </c>
      <c r="V15" s="25"/>
      <c r="W15" s="28"/>
    </row>
    <row r="16" spans="1:26" s="1" customFormat="1" x14ac:dyDescent="0.4">
      <c r="A16" s="54" t="s">
        <v>33</v>
      </c>
      <c r="B16" s="12">
        <v>3515</v>
      </c>
      <c r="C16" s="1" t="s">
        <v>35</v>
      </c>
      <c r="D16" s="1" t="s">
        <v>34</v>
      </c>
      <c r="E16" s="1" t="s">
        <v>36</v>
      </c>
      <c r="F16" s="9">
        <v>2900</v>
      </c>
      <c r="G16" s="52">
        <v>85</v>
      </c>
      <c r="H16" s="52">
        <v>97</v>
      </c>
      <c r="I16" s="23">
        <f t="shared" si="1"/>
        <v>12</v>
      </c>
      <c r="J16" s="23">
        <v>20</v>
      </c>
      <c r="K16" s="10">
        <v>20</v>
      </c>
      <c r="L16" s="11">
        <f t="shared" si="2"/>
        <v>260</v>
      </c>
      <c r="M16" s="52">
        <v>1424</v>
      </c>
      <c r="N16" s="52">
        <v>1516</v>
      </c>
      <c r="O16" s="12">
        <f t="shared" si="3"/>
        <v>92</v>
      </c>
      <c r="P16" s="12">
        <v>9</v>
      </c>
      <c r="Q16" s="12">
        <v>20</v>
      </c>
      <c r="R16" s="11">
        <f t="shared" si="4"/>
        <v>848</v>
      </c>
      <c r="S16" s="12"/>
      <c r="T16" s="12"/>
      <c r="U16" s="11">
        <f t="shared" si="0"/>
        <v>4008</v>
      </c>
      <c r="V16" s="24"/>
      <c r="W16" s="28"/>
    </row>
    <row r="17" spans="1:26" x14ac:dyDescent="0.4">
      <c r="A17" s="54" t="s">
        <v>33</v>
      </c>
      <c r="B17" s="12">
        <v>3516</v>
      </c>
      <c r="C17" s="1" t="s">
        <v>35</v>
      </c>
      <c r="D17" s="1" t="s">
        <v>34</v>
      </c>
      <c r="E17" s="1" t="s">
        <v>36</v>
      </c>
      <c r="F17" s="9">
        <v>2200</v>
      </c>
      <c r="G17" s="52">
        <v>1212</v>
      </c>
      <c r="H17" s="52">
        <v>1216</v>
      </c>
      <c r="I17" s="23">
        <f t="shared" si="1"/>
        <v>4</v>
      </c>
      <c r="J17" s="23">
        <v>20</v>
      </c>
      <c r="K17" s="10">
        <v>20</v>
      </c>
      <c r="L17" s="11">
        <f t="shared" si="2"/>
        <v>120</v>
      </c>
      <c r="M17" s="52">
        <v>1343</v>
      </c>
      <c r="N17" s="52">
        <v>1396</v>
      </c>
      <c r="O17" s="12">
        <f t="shared" si="3"/>
        <v>53</v>
      </c>
      <c r="P17" s="12">
        <v>9</v>
      </c>
      <c r="Q17" s="12">
        <v>20</v>
      </c>
      <c r="R17" s="11">
        <f t="shared" si="4"/>
        <v>497</v>
      </c>
      <c r="S17" s="8"/>
      <c r="T17" s="8"/>
      <c r="U17" s="11">
        <f t="shared" si="0"/>
        <v>2817</v>
      </c>
      <c r="V17" s="1"/>
      <c r="W17" s="28"/>
      <c r="X17" s="1"/>
      <c r="Y17" s="1"/>
      <c r="Z17" s="1"/>
    </row>
    <row r="18" spans="1:26" x14ac:dyDescent="0.4">
      <c r="A18" s="54" t="s">
        <v>33</v>
      </c>
      <c r="B18" s="12">
        <v>3517</v>
      </c>
      <c r="C18" s="1" t="s">
        <v>35</v>
      </c>
      <c r="D18" s="1" t="s">
        <v>34</v>
      </c>
      <c r="E18" s="1" t="s">
        <v>36</v>
      </c>
      <c r="F18" s="9">
        <v>2900</v>
      </c>
      <c r="G18" s="52">
        <v>55</v>
      </c>
      <c r="H18" s="52">
        <v>60</v>
      </c>
      <c r="I18" s="23">
        <f t="shared" si="1"/>
        <v>5</v>
      </c>
      <c r="J18" s="23">
        <v>20</v>
      </c>
      <c r="K18" s="6">
        <v>20</v>
      </c>
      <c r="L18" s="11">
        <f t="shared" si="2"/>
        <v>120</v>
      </c>
      <c r="M18" s="52">
        <v>1927</v>
      </c>
      <c r="N18" s="52">
        <v>2228</v>
      </c>
      <c r="O18" s="12">
        <f t="shared" si="3"/>
        <v>301</v>
      </c>
      <c r="P18" s="12">
        <v>9</v>
      </c>
      <c r="Q18" s="5">
        <v>20</v>
      </c>
      <c r="R18" s="11">
        <f t="shared" si="4"/>
        <v>2729</v>
      </c>
      <c r="S18" s="8"/>
      <c r="T18" s="8"/>
      <c r="U18" s="11">
        <f t="shared" si="0"/>
        <v>5749</v>
      </c>
      <c r="V18" s="1"/>
      <c r="W18" s="28"/>
      <c r="X18" s="1"/>
      <c r="Y18" s="1"/>
      <c r="Z18" s="1"/>
    </row>
    <row r="19" spans="1:26" s="1" customFormat="1" x14ac:dyDescent="0.4">
      <c r="A19" s="54" t="s">
        <v>33</v>
      </c>
      <c r="B19" s="12">
        <v>3518</v>
      </c>
      <c r="C19" s="1" t="s">
        <v>35</v>
      </c>
      <c r="D19" s="1" t="s">
        <v>34</v>
      </c>
      <c r="E19" s="1" t="s">
        <v>36</v>
      </c>
      <c r="F19" s="9">
        <v>2400</v>
      </c>
      <c r="G19" s="52">
        <v>970</v>
      </c>
      <c r="H19" s="52">
        <v>975</v>
      </c>
      <c r="I19" s="23">
        <f t="shared" si="1"/>
        <v>5</v>
      </c>
      <c r="J19" s="23">
        <v>20</v>
      </c>
      <c r="K19" s="10">
        <v>20</v>
      </c>
      <c r="L19" s="11">
        <f t="shared" si="2"/>
        <v>120</v>
      </c>
      <c r="M19" s="52">
        <v>503</v>
      </c>
      <c r="N19" s="52">
        <v>529</v>
      </c>
      <c r="O19" s="12">
        <f t="shared" si="3"/>
        <v>26</v>
      </c>
      <c r="P19" s="12">
        <v>9</v>
      </c>
      <c r="Q19" s="12">
        <v>20</v>
      </c>
      <c r="R19" s="11">
        <f t="shared" si="4"/>
        <v>254</v>
      </c>
      <c r="S19" s="8"/>
      <c r="T19" s="8"/>
      <c r="U19" s="11">
        <f t="shared" si="0"/>
        <v>2774</v>
      </c>
      <c r="V19" s="24"/>
      <c r="W19" s="28"/>
    </row>
    <row r="20" spans="1:26" s="1" customFormat="1" x14ac:dyDescent="0.4">
      <c r="A20" s="54" t="s">
        <v>33</v>
      </c>
      <c r="B20" s="12">
        <v>3519</v>
      </c>
      <c r="C20" s="1" t="s">
        <v>35</v>
      </c>
      <c r="D20" s="1" t="s">
        <v>34</v>
      </c>
      <c r="E20" s="1" t="s">
        <v>36</v>
      </c>
      <c r="F20" s="9">
        <v>2400</v>
      </c>
      <c r="G20" s="52">
        <v>1588</v>
      </c>
      <c r="H20" s="52">
        <v>1593</v>
      </c>
      <c r="I20" s="23">
        <f>H20-G20</f>
        <v>5</v>
      </c>
      <c r="J20" s="23">
        <v>20</v>
      </c>
      <c r="K20" s="10">
        <v>20</v>
      </c>
      <c r="L20" s="11">
        <f t="shared" si="2"/>
        <v>120</v>
      </c>
      <c r="M20" s="58">
        <v>582</v>
      </c>
      <c r="N20" s="58">
        <v>664</v>
      </c>
      <c r="O20" s="12">
        <f t="shared" si="3"/>
        <v>82</v>
      </c>
      <c r="P20" s="12">
        <v>9</v>
      </c>
      <c r="Q20" s="12">
        <v>20</v>
      </c>
      <c r="R20" s="11">
        <f t="shared" si="4"/>
        <v>758</v>
      </c>
      <c r="S20" s="2"/>
      <c r="T20" s="8"/>
      <c r="U20" s="11">
        <f t="shared" si="0"/>
        <v>3278</v>
      </c>
      <c r="V20" s="24"/>
      <c r="W20" s="28"/>
    </row>
    <row r="21" spans="1:26" s="1" customFormat="1" x14ac:dyDescent="0.4">
      <c r="A21" s="54" t="s">
        <v>33</v>
      </c>
      <c r="B21" s="12">
        <v>3520</v>
      </c>
      <c r="C21" s="1" t="s">
        <v>35</v>
      </c>
      <c r="D21" s="1" t="s">
        <v>34</v>
      </c>
      <c r="E21" s="1" t="s">
        <v>36</v>
      </c>
      <c r="F21" s="9">
        <v>2400</v>
      </c>
      <c r="G21" s="52">
        <v>1258</v>
      </c>
      <c r="H21" s="52">
        <v>1262</v>
      </c>
      <c r="I21" s="23">
        <f t="shared" si="1"/>
        <v>4</v>
      </c>
      <c r="J21" s="23">
        <v>20</v>
      </c>
      <c r="K21" s="10">
        <v>20</v>
      </c>
      <c r="L21" s="11">
        <f t="shared" si="2"/>
        <v>120</v>
      </c>
      <c r="M21" s="58">
        <v>331</v>
      </c>
      <c r="N21" s="58">
        <v>380</v>
      </c>
      <c r="O21" s="12">
        <f t="shared" si="3"/>
        <v>49</v>
      </c>
      <c r="P21" s="12">
        <v>9</v>
      </c>
      <c r="Q21" s="12">
        <v>20</v>
      </c>
      <c r="R21" s="11">
        <f t="shared" si="4"/>
        <v>461</v>
      </c>
      <c r="S21" s="8"/>
      <c r="T21" s="8"/>
      <c r="U21" s="11">
        <f t="shared" si="0"/>
        <v>2981</v>
      </c>
      <c r="V21" s="24"/>
      <c r="W21" s="28"/>
    </row>
    <row r="22" spans="1:26" x14ac:dyDescent="0.4">
      <c r="A22" s="54" t="s">
        <v>33</v>
      </c>
      <c r="B22" s="12">
        <v>3521</v>
      </c>
      <c r="C22" s="1" t="s">
        <v>35</v>
      </c>
      <c r="D22" s="1" t="s">
        <v>34</v>
      </c>
      <c r="E22" s="1" t="s">
        <v>36</v>
      </c>
      <c r="F22" s="9">
        <v>2400</v>
      </c>
      <c r="G22" s="52">
        <v>1511</v>
      </c>
      <c r="H22" s="52">
        <v>1518</v>
      </c>
      <c r="I22" s="23">
        <f>H22-G22</f>
        <v>7</v>
      </c>
      <c r="J22" s="23">
        <v>20</v>
      </c>
      <c r="K22" s="10">
        <v>20</v>
      </c>
      <c r="L22" s="11">
        <f t="shared" si="2"/>
        <v>160</v>
      </c>
      <c r="M22" s="58">
        <v>17322</v>
      </c>
      <c r="N22" s="58">
        <v>17423</v>
      </c>
      <c r="O22" s="12">
        <f t="shared" si="3"/>
        <v>101</v>
      </c>
      <c r="P22" s="12">
        <v>9</v>
      </c>
      <c r="Q22" s="12">
        <v>20</v>
      </c>
      <c r="R22" s="11">
        <f t="shared" si="4"/>
        <v>929</v>
      </c>
      <c r="S22" s="8"/>
      <c r="T22" s="8"/>
      <c r="U22" s="11">
        <f t="shared" si="0"/>
        <v>3489</v>
      </c>
      <c r="V22" s="24"/>
      <c r="W22" s="28"/>
      <c r="X22" s="1"/>
      <c r="Y22" s="1"/>
      <c r="Z22" s="1"/>
    </row>
    <row r="23" spans="1:26" s="1" customFormat="1" x14ac:dyDescent="0.4">
      <c r="A23" s="54" t="s">
        <v>33</v>
      </c>
      <c r="B23" s="12">
        <v>3522</v>
      </c>
      <c r="C23" s="1" t="s">
        <v>35</v>
      </c>
      <c r="D23" s="1" t="s">
        <v>34</v>
      </c>
      <c r="E23" s="1" t="s">
        <v>36</v>
      </c>
      <c r="F23" s="9">
        <v>2900</v>
      </c>
      <c r="G23" s="52">
        <v>1225</v>
      </c>
      <c r="H23" s="52">
        <v>1231</v>
      </c>
      <c r="I23" s="23">
        <f t="shared" si="1"/>
        <v>6</v>
      </c>
      <c r="J23" s="23">
        <v>20</v>
      </c>
      <c r="K23" s="10">
        <v>20</v>
      </c>
      <c r="L23" s="11">
        <f t="shared" si="2"/>
        <v>140</v>
      </c>
      <c r="M23" s="58">
        <v>1080</v>
      </c>
      <c r="N23" s="58">
        <v>1193</v>
      </c>
      <c r="O23" s="12">
        <f t="shared" si="3"/>
        <v>113</v>
      </c>
      <c r="P23" s="12">
        <v>9</v>
      </c>
      <c r="Q23" s="12">
        <v>20</v>
      </c>
      <c r="R23" s="11">
        <f t="shared" si="4"/>
        <v>1037</v>
      </c>
      <c r="S23" s="8"/>
      <c r="T23" s="8"/>
      <c r="U23" s="11">
        <f t="shared" si="0"/>
        <v>4077</v>
      </c>
      <c r="V23" s="24"/>
      <c r="W23" s="28"/>
    </row>
    <row r="24" spans="1:26" s="1" customFormat="1" x14ac:dyDescent="0.4">
      <c r="A24" s="54" t="s">
        <v>33</v>
      </c>
      <c r="B24" s="12">
        <v>3523</v>
      </c>
      <c r="C24" s="1" t="s">
        <v>35</v>
      </c>
      <c r="D24" s="1" t="s">
        <v>34</v>
      </c>
      <c r="E24" s="1" t="s">
        <v>36</v>
      </c>
      <c r="F24" s="9">
        <v>2400</v>
      </c>
      <c r="G24" s="52">
        <v>1110</v>
      </c>
      <c r="H24" s="52">
        <v>1112</v>
      </c>
      <c r="I24" s="23">
        <f>H24-G24</f>
        <v>2</v>
      </c>
      <c r="J24" s="23">
        <v>20</v>
      </c>
      <c r="K24" s="10">
        <v>20</v>
      </c>
      <c r="L24" s="11">
        <f t="shared" si="2"/>
        <v>120</v>
      </c>
      <c r="M24" s="58">
        <v>300</v>
      </c>
      <c r="N24" s="58">
        <v>325</v>
      </c>
      <c r="O24" s="12">
        <f>N24-M24</f>
        <v>25</v>
      </c>
      <c r="P24" s="12">
        <v>9</v>
      </c>
      <c r="Q24" s="12">
        <v>20</v>
      </c>
      <c r="R24" s="11">
        <f t="shared" si="4"/>
        <v>245</v>
      </c>
      <c r="S24" s="8"/>
      <c r="T24" s="8"/>
      <c r="U24" s="11">
        <f t="shared" si="0"/>
        <v>2765</v>
      </c>
      <c r="V24" s="24"/>
      <c r="W24" s="28"/>
    </row>
    <row r="25" spans="1:26" s="1" customFormat="1" x14ac:dyDescent="0.4">
      <c r="A25" s="54" t="s">
        <v>33</v>
      </c>
      <c r="B25" s="12">
        <v>3524</v>
      </c>
      <c r="C25" s="1" t="s">
        <v>35</v>
      </c>
      <c r="D25" s="1" t="s">
        <v>34</v>
      </c>
      <c r="E25" s="1" t="s">
        <v>36</v>
      </c>
      <c r="F25" s="9">
        <v>2400</v>
      </c>
      <c r="G25" s="52">
        <v>1074</v>
      </c>
      <c r="H25" s="52">
        <v>1078</v>
      </c>
      <c r="I25" s="23">
        <f>H25-G25</f>
        <v>4</v>
      </c>
      <c r="J25" s="23">
        <v>20</v>
      </c>
      <c r="K25" s="10">
        <v>20</v>
      </c>
      <c r="L25" s="11">
        <f t="shared" si="2"/>
        <v>120</v>
      </c>
      <c r="M25" s="58">
        <v>224</v>
      </c>
      <c r="N25" s="58">
        <v>248</v>
      </c>
      <c r="O25" s="12">
        <f>N25-M25</f>
        <v>24</v>
      </c>
      <c r="P25" s="12">
        <v>9</v>
      </c>
      <c r="Q25" s="12">
        <v>20</v>
      </c>
      <c r="R25" s="11">
        <f t="shared" si="4"/>
        <v>236</v>
      </c>
      <c r="S25" s="8"/>
      <c r="T25" s="8"/>
      <c r="U25" s="11">
        <f t="shared" si="0"/>
        <v>2756</v>
      </c>
      <c r="V25" s="24"/>
      <c r="W25" s="28"/>
    </row>
    <row r="26" spans="1:26" x14ac:dyDescent="0.4">
      <c r="A26" s="54" t="s">
        <v>33</v>
      </c>
      <c r="B26" s="12">
        <v>3525</v>
      </c>
      <c r="C26" s="1" t="s">
        <v>35</v>
      </c>
      <c r="D26" s="1" t="s">
        <v>34</v>
      </c>
      <c r="E26" s="1" t="s">
        <v>36</v>
      </c>
      <c r="F26" s="9">
        <v>2900</v>
      </c>
      <c r="G26" s="52">
        <v>105</v>
      </c>
      <c r="H26" s="52">
        <v>113</v>
      </c>
      <c r="I26" s="23">
        <f t="shared" si="1"/>
        <v>8</v>
      </c>
      <c r="J26" s="23">
        <v>20</v>
      </c>
      <c r="K26" s="10">
        <v>20</v>
      </c>
      <c r="L26" s="11">
        <f t="shared" si="2"/>
        <v>180</v>
      </c>
      <c r="M26" s="52">
        <v>3039</v>
      </c>
      <c r="N26" s="52">
        <v>3150</v>
      </c>
      <c r="O26" s="12">
        <f t="shared" si="3"/>
        <v>111</v>
      </c>
      <c r="P26" s="12">
        <v>9</v>
      </c>
      <c r="Q26" s="12">
        <v>20</v>
      </c>
      <c r="R26" s="11">
        <f t="shared" si="4"/>
        <v>1019</v>
      </c>
      <c r="S26" s="8"/>
      <c r="T26" s="8"/>
      <c r="U26" s="11">
        <f t="shared" si="0"/>
        <v>4099</v>
      </c>
      <c r="V26" s="1"/>
      <c r="W26" s="28"/>
      <c r="X26" s="1"/>
      <c r="Y26" s="1"/>
      <c r="Z26" s="1"/>
    </row>
    <row r="27" spans="1:26" x14ac:dyDescent="0.4">
      <c r="A27" s="54" t="s">
        <v>33</v>
      </c>
      <c r="B27" s="44">
        <v>3526</v>
      </c>
      <c r="C27" s="1" t="s">
        <v>35</v>
      </c>
      <c r="D27" s="1" t="s">
        <v>34</v>
      </c>
      <c r="E27" s="1" t="s">
        <v>36</v>
      </c>
      <c r="F27" s="9">
        <v>2900</v>
      </c>
      <c r="G27" s="52">
        <v>88</v>
      </c>
      <c r="H27" s="52">
        <v>96</v>
      </c>
      <c r="I27" s="23">
        <f t="shared" si="1"/>
        <v>8</v>
      </c>
      <c r="J27" s="23">
        <v>20</v>
      </c>
      <c r="K27" s="10">
        <v>20</v>
      </c>
      <c r="L27" s="11">
        <f t="shared" si="2"/>
        <v>180</v>
      </c>
      <c r="M27" s="52">
        <v>2793</v>
      </c>
      <c r="N27" s="52">
        <v>2908</v>
      </c>
      <c r="O27" s="12">
        <f t="shared" si="3"/>
        <v>115</v>
      </c>
      <c r="P27" s="12">
        <v>9</v>
      </c>
      <c r="Q27" s="12">
        <v>20</v>
      </c>
      <c r="R27" s="11">
        <f t="shared" si="4"/>
        <v>1055</v>
      </c>
      <c r="S27" s="28"/>
      <c r="T27" s="8"/>
      <c r="U27" s="11">
        <f t="shared" si="0"/>
        <v>4135</v>
      </c>
      <c r="V27" s="59"/>
      <c r="W27" s="28"/>
      <c r="X27" s="1"/>
      <c r="Y27" s="1"/>
      <c r="Z27" s="1"/>
    </row>
    <row r="28" spans="1:26" x14ac:dyDescent="0.4">
      <c r="A28" s="54" t="s">
        <v>33</v>
      </c>
      <c r="B28" s="12">
        <v>3527</v>
      </c>
      <c r="C28" s="1" t="s">
        <v>35</v>
      </c>
      <c r="D28" s="1" t="s">
        <v>34</v>
      </c>
      <c r="E28" s="1" t="s">
        <v>36</v>
      </c>
      <c r="F28" s="9">
        <v>2400</v>
      </c>
      <c r="G28" s="52">
        <v>1548</v>
      </c>
      <c r="H28" s="52">
        <v>1568</v>
      </c>
      <c r="I28" s="23">
        <f>H28-G28</f>
        <v>20</v>
      </c>
      <c r="J28" s="23">
        <v>20</v>
      </c>
      <c r="K28" s="10">
        <v>20</v>
      </c>
      <c r="L28" s="11">
        <f t="shared" si="2"/>
        <v>420</v>
      </c>
      <c r="M28" s="52">
        <v>448</v>
      </c>
      <c r="N28" s="52">
        <v>521</v>
      </c>
      <c r="O28" s="12">
        <f t="shared" si="3"/>
        <v>73</v>
      </c>
      <c r="P28" s="12">
        <v>9</v>
      </c>
      <c r="Q28" s="12">
        <v>20</v>
      </c>
      <c r="R28" s="11">
        <f t="shared" si="4"/>
        <v>677</v>
      </c>
      <c r="S28" s="8"/>
      <c r="T28" s="8"/>
      <c r="U28" s="11">
        <f t="shared" si="0"/>
        <v>3497</v>
      </c>
      <c r="V28" s="24"/>
      <c r="W28" s="28"/>
      <c r="X28" s="1"/>
      <c r="Y28" s="1"/>
      <c r="Z28" s="1"/>
    </row>
    <row r="29" spans="1:26" x14ac:dyDescent="0.4">
      <c r="A29" s="54" t="s">
        <v>33</v>
      </c>
      <c r="B29" s="8">
        <v>3528</v>
      </c>
      <c r="C29" s="1" t="s">
        <v>35</v>
      </c>
      <c r="D29" s="1" t="s">
        <v>34</v>
      </c>
      <c r="E29" s="1" t="s">
        <v>36</v>
      </c>
      <c r="F29" s="9">
        <v>2400</v>
      </c>
      <c r="G29" s="52">
        <v>1994</v>
      </c>
      <c r="H29" s="52">
        <v>1996</v>
      </c>
      <c r="I29" s="23">
        <f>H29-G29</f>
        <v>2</v>
      </c>
      <c r="J29" s="23">
        <v>20</v>
      </c>
      <c r="K29" s="10">
        <v>20</v>
      </c>
      <c r="L29" s="11">
        <f t="shared" si="2"/>
        <v>120</v>
      </c>
      <c r="M29" s="52">
        <v>295</v>
      </c>
      <c r="N29" s="52">
        <v>314</v>
      </c>
      <c r="O29" s="12">
        <f t="shared" si="3"/>
        <v>19</v>
      </c>
      <c r="P29" s="12">
        <v>9</v>
      </c>
      <c r="Q29" s="12">
        <v>20</v>
      </c>
      <c r="R29" s="11">
        <f t="shared" si="4"/>
        <v>191</v>
      </c>
      <c r="S29" s="55"/>
      <c r="T29" s="8"/>
      <c r="U29" s="11">
        <f t="shared" si="0"/>
        <v>2711</v>
      </c>
      <c r="V29" s="25"/>
      <c r="W29" s="28"/>
      <c r="X29" s="1"/>
      <c r="Y29" s="1"/>
      <c r="Z29" s="1"/>
    </row>
    <row r="30" spans="1:26" x14ac:dyDescent="0.4">
      <c r="A30" s="54" t="s">
        <v>33</v>
      </c>
      <c r="B30" s="12">
        <v>3529</v>
      </c>
      <c r="C30" s="1" t="s">
        <v>35</v>
      </c>
      <c r="D30" s="1" t="s">
        <v>34</v>
      </c>
      <c r="E30" s="1" t="s">
        <v>36</v>
      </c>
      <c r="F30" s="9">
        <v>2400</v>
      </c>
      <c r="G30" s="52">
        <v>57</v>
      </c>
      <c r="H30" s="52">
        <v>63</v>
      </c>
      <c r="I30" s="23">
        <f>H30-G30</f>
        <v>6</v>
      </c>
      <c r="J30" s="23">
        <v>20</v>
      </c>
      <c r="K30" s="10">
        <v>20</v>
      </c>
      <c r="L30" s="11">
        <f t="shared" si="2"/>
        <v>140</v>
      </c>
      <c r="M30" s="52">
        <v>445</v>
      </c>
      <c r="N30" s="52">
        <v>503</v>
      </c>
      <c r="O30" s="12">
        <f t="shared" si="3"/>
        <v>58</v>
      </c>
      <c r="P30" s="12">
        <v>9</v>
      </c>
      <c r="Q30" s="12">
        <v>20</v>
      </c>
      <c r="R30" s="11">
        <f t="shared" si="4"/>
        <v>542</v>
      </c>
      <c r="S30" s="8"/>
      <c r="T30" s="8"/>
      <c r="U30" s="11">
        <f t="shared" si="0"/>
        <v>3082</v>
      </c>
      <c r="V30" s="24"/>
      <c r="W30" s="28"/>
      <c r="X30" s="1"/>
      <c r="Y30" s="1"/>
      <c r="Z30" s="1"/>
    </row>
    <row r="31" spans="1:26" x14ac:dyDescent="0.4">
      <c r="A31" s="54" t="s">
        <v>33</v>
      </c>
      <c r="B31" s="12">
        <v>3530</v>
      </c>
      <c r="C31" s="1" t="s">
        <v>35</v>
      </c>
      <c r="D31" s="1" t="s">
        <v>34</v>
      </c>
      <c r="E31" s="1" t="s">
        <v>36</v>
      </c>
      <c r="F31" s="9">
        <v>2900</v>
      </c>
      <c r="G31" s="52">
        <v>1069</v>
      </c>
      <c r="H31" s="52">
        <v>1074</v>
      </c>
      <c r="I31" s="23">
        <f t="shared" si="1"/>
        <v>5</v>
      </c>
      <c r="J31" s="23">
        <v>20</v>
      </c>
      <c r="K31" s="10">
        <v>20</v>
      </c>
      <c r="L31" s="11">
        <f t="shared" si="2"/>
        <v>120</v>
      </c>
      <c r="M31" s="52">
        <v>2044</v>
      </c>
      <c r="N31" s="52">
        <v>2123</v>
      </c>
      <c r="O31" s="12">
        <f t="shared" si="3"/>
        <v>79</v>
      </c>
      <c r="P31" s="12">
        <v>9</v>
      </c>
      <c r="Q31" s="12">
        <v>20</v>
      </c>
      <c r="R31" s="11">
        <f t="shared" si="4"/>
        <v>731</v>
      </c>
      <c r="S31" s="8"/>
      <c r="T31" s="8"/>
      <c r="U31" s="11">
        <f t="shared" si="0"/>
        <v>3751</v>
      </c>
      <c r="V31" s="1"/>
      <c r="W31" s="28"/>
      <c r="X31" s="1"/>
      <c r="Y31" s="1"/>
      <c r="Z31" s="1"/>
    </row>
    <row r="32" spans="1:26" s="1" customFormat="1" ht="15.95" customHeight="1" x14ac:dyDescent="0.4">
      <c r="A32" s="54" t="s">
        <v>33</v>
      </c>
      <c r="B32" s="12">
        <v>3531</v>
      </c>
      <c r="C32" s="1" t="s">
        <v>35</v>
      </c>
      <c r="D32" s="1" t="s">
        <v>34</v>
      </c>
      <c r="E32" s="1" t="s">
        <v>36</v>
      </c>
      <c r="F32" s="9">
        <v>2400</v>
      </c>
      <c r="G32" s="52">
        <v>125</v>
      </c>
      <c r="H32" s="52">
        <v>131</v>
      </c>
      <c r="I32" s="23">
        <f t="shared" si="1"/>
        <v>6</v>
      </c>
      <c r="J32" s="23">
        <v>20</v>
      </c>
      <c r="K32" s="10">
        <v>20</v>
      </c>
      <c r="L32" s="11">
        <f t="shared" si="2"/>
        <v>140</v>
      </c>
      <c r="M32" s="52">
        <v>676</v>
      </c>
      <c r="N32" s="52">
        <v>695</v>
      </c>
      <c r="O32" s="12">
        <f t="shared" si="3"/>
        <v>19</v>
      </c>
      <c r="P32" s="12">
        <v>9</v>
      </c>
      <c r="Q32" s="12">
        <v>20</v>
      </c>
      <c r="R32" s="11">
        <f t="shared" si="4"/>
        <v>191</v>
      </c>
      <c r="S32" s="8"/>
      <c r="T32" s="8"/>
      <c r="U32" s="11">
        <f t="shared" si="0"/>
        <v>2731</v>
      </c>
      <c r="V32" s="25"/>
      <c r="W32" s="28"/>
    </row>
    <row r="33" spans="1:26" s="1" customFormat="1" ht="15.4" customHeight="1" x14ac:dyDescent="0.4">
      <c r="A33" s="54" t="s">
        <v>33</v>
      </c>
      <c r="B33" s="12">
        <v>3532</v>
      </c>
      <c r="C33" s="1" t="s">
        <v>35</v>
      </c>
      <c r="D33" s="1" t="s">
        <v>34</v>
      </c>
      <c r="E33" s="1" t="s">
        <v>36</v>
      </c>
      <c r="F33" s="9">
        <v>2400</v>
      </c>
      <c r="G33" s="52">
        <v>1163</v>
      </c>
      <c r="H33" s="52">
        <v>1167</v>
      </c>
      <c r="I33" s="23">
        <f t="shared" si="1"/>
        <v>4</v>
      </c>
      <c r="J33" s="23">
        <v>20</v>
      </c>
      <c r="K33" s="10">
        <v>20</v>
      </c>
      <c r="L33" s="11">
        <f t="shared" si="2"/>
        <v>120</v>
      </c>
      <c r="M33" s="52">
        <v>310</v>
      </c>
      <c r="N33" s="52">
        <v>346</v>
      </c>
      <c r="O33" s="12">
        <f t="shared" si="3"/>
        <v>36</v>
      </c>
      <c r="P33" s="12">
        <v>9</v>
      </c>
      <c r="Q33" s="12">
        <v>20</v>
      </c>
      <c r="R33" s="11">
        <f t="shared" si="4"/>
        <v>344</v>
      </c>
      <c r="S33" s="8"/>
      <c r="T33" s="8"/>
      <c r="U33" s="11">
        <f t="shared" si="0"/>
        <v>2864</v>
      </c>
      <c r="V33" s="25"/>
      <c r="W33" s="28"/>
    </row>
    <row r="34" spans="1:26" s="21" customFormat="1" ht="14.85" customHeight="1" x14ac:dyDescent="0.4">
      <c r="A34" s="16"/>
      <c r="B34" s="15"/>
      <c r="C34" s="16"/>
      <c r="D34" s="16"/>
      <c r="E34" s="15"/>
      <c r="F34" s="17"/>
      <c r="G34" s="15"/>
      <c r="H34" s="15"/>
      <c r="I34" s="17"/>
      <c r="J34" s="17"/>
      <c r="K34" s="15"/>
      <c r="L34" s="19"/>
      <c r="M34" s="15"/>
      <c r="N34" s="15"/>
      <c r="O34" s="15"/>
      <c r="P34" s="15"/>
      <c r="Q34" s="15"/>
      <c r="R34" s="19"/>
      <c r="S34" s="19"/>
      <c r="T34" s="19"/>
      <c r="U34" s="19"/>
      <c r="V34" s="60"/>
      <c r="W34" s="28"/>
      <c r="X34" s="15"/>
      <c r="Y34" s="15"/>
      <c r="Z34" s="15"/>
    </row>
    <row r="35" spans="1:26" x14ac:dyDescent="0.4">
      <c r="B35" s="1"/>
      <c r="C35" s="41"/>
      <c r="D35" s="41"/>
      <c r="E35" s="37"/>
      <c r="F35" s="1"/>
      <c r="G35" s="1"/>
      <c r="H35" s="1"/>
      <c r="I35" s="1"/>
      <c r="J35" s="1"/>
      <c r="L35" s="1"/>
      <c r="M35" s="1"/>
      <c r="N35" s="1"/>
      <c r="O35" s="1"/>
      <c r="P35" s="1"/>
      <c r="R35" s="1"/>
      <c r="S35" s="1"/>
      <c r="T35" s="1"/>
      <c r="U35" s="1"/>
      <c r="V35" s="1"/>
      <c r="W35" s="28"/>
      <c r="X35" s="1"/>
      <c r="Y35" s="1"/>
      <c r="Z35" s="1"/>
    </row>
  </sheetData>
  <phoneticPr fontId="12" type="noConversion"/>
  <conditionalFormatting sqref="U2:U1048576">
    <cfRule type="duplicateValues" dxfId="13" priority="6"/>
  </conditionalFormatting>
  <conditionalFormatting sqref="U2:U33">
    <cfRule type="duplicateValues" dxfId="12" priority="4"/>
    <cfRule type="duplicateValues" dxfId="11" priority="5"/>
  </conditionalFormatting>
  <pageMargins left="0" right="0" top="0" bottom="0" header="0.3" footer="0.3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A35"/>
  <sheetViews>
    <sheetView zoomScale="91" zoomScaleNormal="91" workbookViewId="0">
      <selection sqref="A1:V1"/>
    </sheetView>
  </sheetViews>
  <sheetFormatPr defaultColWidth="9.25" defaultRowHeight="18" x14ac:dyDescent="0.4"/>
  <cols>
    <col min="1" max="1" width="6.375" style="26" customWidth="1"/>
    <col min="2" max="2" width="5.875" style="3" customWidth="1"/>
    <col min="3" max="3" width="5.125" style="38" customWidth="1"/>
    <col min="4" max="4" width="7.125" style="38" customWidth="1"/>
    <col min="5" max="5" width="12.375" style="39" customWidth="1"/>
    <col min="6" max="6" width="6.625" style="3" customWidth="1"/>
    <col min="7" max="8" width="5.875" style="3" customWidth="1"/>
    <col min="9" max="9" width="5" style="3" customWidth="1"/>
    <col min="10" max="10" width="9.25" style="3" bestFit="1" customWidth="1"/>
    <col min="11" max="11" width="11.875" style="3" bestFit="1" customWidth="1"/>
    <col min="12" max="14" width="5.875" style="3" customWidth="1"/>
    <col min="15" max="15" width="6.25" style="3" customWidth="1"/>
    <col min="16" max="16" width="9.25" style="3" bestFit="1" customWidth="1"/>
    <col min="17" max="17" width="11.875" style="3" bestFit="1" customWidth="1"/>
    <col min="18" max="18" width="7" style="3" customWidth="1"/>
    <col min="19" max="19" width="4" style="3" customWidth="1"/>
    <col min="20" max="20" width="4.125" style="3" customWidth="1"/>
    <col min="21" max="21" width="8.125" style="3" customWidth="1"/>
    <col min="22" max="22" width="21.25" style="3" customWidth="1"/>
    <col min="23" max="23" width="2" style="29" customWidth="1"/>
    <col min="24" max="24" width="20.75" style="3" customWidth="1"/>
    <col min="25" max="25" width="5.875" style="3" customWidth="1"/>
    <col min="26" max="16384" width="9.25" style="3"/>
  </cols>
  <sheetData>
    <row r="1" spans="1:27" s="22" customFormat="1" ht="18.75" customHeight="1" x14ac:dyDescent="0.35">
      <c r="A1" s="4" t="s">
        <v>0</v>
      </c>
      <c r="B1" s="5" t="s">
        <v>31</v>
      </c>
      <c r="C1" s="4" t="s">
        <v>26</v>
      </c>
      <c r="D1" s="4" t="s">
        <v>27</v>
      </c>
      <c r="E1" s="4" t="s">
        <v>28</v>
      </c>
      <c r="F1" s="73" t="s">
        <v>1</v>
      </c>
      <c r="G1" s="5" t="s">
        <v>2</v>
      </c>
      <c r="H1" s="5" t="s">
        <v>3</v>
      </c>
      <c r="I1" s="5" t="s">
        <v>4</v>
      </c>
      <c r="J1" s="12" t="s">
        <v>38</v>
      </c>
      <c r="K1" s="6" t="s">
        <v>39</v>
      </c>
      <c r="L1" s="7" t="s">
        <v>41</v>
      </c>
      <c r="M1" s="5" t="s">
        <v>5</v>
      </c>
      <c r="N1" s="5" t="s">
        <v>6</v>
      </c>
      <c r="O1" s="5" t="s">
        <v>7</v>
      </c>
      <c r="P1" s="12" t="s">
        <v>37</v>
      </c>
      <c r="Q1" s="5" t="s">
        <v>40</v>
      </c>
      <c r="R1" s="7" t="s">
        <v>42</v>
      </c>
      <c r="S1" s="4" t="s">
        <v>8</v>
      </c>
      <c r="T1" s="4" t="s">
        <v>9</v>
      </c>
      <c r="U1" s="7" t="s">
        <v>10</v>
      </c>
      <c r="V1" s="4" t="s">
        <v>30</v>
      </c>
      <c r="W1" s="30"/>
    </row>
    <row r="2" spans="1:27" ht="14.85" customHeight="1" x14ac:dyDescent="0.4">
      <c r="A2" s="54" t="s">
        <v>33</v>
      </c>
      <c r="B2" s="12">
        <v>3601</v>
      </c>
      <c r="C2" s="1" t="s">
        <v>35</v>
      </c>
      <c r="D2" s="1" t="s">
        <v>34</v>
      </c>
      <c r="E2" s="1" t="s">
        <v>36</v>
      </c>
      <c r="F2" s="9">
        <v>2900</v>
      </c>
      <c r="G2" s="52">
        <v>756</v>
      </c>
      <c r="H2" s="52">
        <v>757</v>
      </c>
      <c r="I2" s="23">
        <f>H2-G2</f>
        <v>1</v>
      </c>
      <c r="J2" s="23">
        <v>20</v>
      </c>
      <c r="K2" s="10">
        <v>20</v>
      </c>
      <c r="L2" s="11">
        <f>IF(F2= " "," ",IF(I2*J2+K2&lt;120,120,I2*J2+K2))</f>
        <v>120</v>
      </c>
      <c r="M2" s="52">
        <v>929</v>
      </c>
      <c r="N2" s="52">
        <v>940</v>
      </c>
      <c r="O2" s="12">
        <f>N2-M2</f>
        <v>11</v>
      </c>
      <c r="P2" s="12">
        <v>9</v>
      </c>
      <c r="Q2" s="12">
        <v>20</v>
      </c>
      <c r="R2" s="11">
        <f>IF(F2=" "," ",IF(O2*P2+Q2&lt;65,65,O2*P2+Q2))</f>
        <v>119</v>
      </c>
      <c r="S2" s="8"/>
      <c r="T2" s="8"/>
      <c r="U2" s="11">
        <f t="shared" ref="U2:U33" si="0">IF(F2=" ",0,SUM(F2,L2,R2,S2,T2))</f>
        <v>3139</v>
      </c>
      <c r="V2" s="1"/>
      <c r="W2" s="28"/>
      <c r="X2" s="1"/>
      <c r="Y2" s="1"/>
      <c r="Z2" s="1"/>
      <c r="AA2" s="1"/>
    </row>
    <row r="3" spans="1:27" s="1" customFormat="1" x14ac:dyDescent="0.4">
      <c r="A3" s="54" t="s">
        <v>33</v>
      </c>
      <c r="B3" s="12">
        <v>3602</v>
      </c>
      <c r="C3" s="1" t="s">
        <v>35</v>
      </c>
      <c r="D3" s="1" t="s">
        <v>34</v>
      </c>
      <c r="E3" s="1" t="s">
        <v>36</v>
      </c>
      <c r="F3" s="9">
        <v>2900</v>
      </c>
      <c r="G3" s="52">
        <v>1455</v>
      </c>
      <c r="H3" s="52">
        <v>1455</v>
      </c>
      <c r="I3" s="23">
        <f t="shared" ref="I3:I33" si="1">H3-G3</f>
        <v>0</v>
      </c>
      <c r="J3" s="23">
        <v>20</v>
      </c>
      <c r="K3" s="10">
        <v>20</v>
      </c>
      <c r="L3" s="11">
        <f t="shared" ref="L3:L33" si="2">IF(F3= " "," ",IF(I3*J3+K3&lt;120,120,I3*J3+K3))</f>
        <v>120</v>
      </c>
      <c r="M3" s="52">
        <v>10993</v>
      </c>
      <c r="N3" s="52">
        <v>10993</v>
      </c>
      <c r="O3" s="12">
        <f t="shared" ref="O3:O33" si="3">N3-M3</f>
        <v>0</v>
      </c>
      <c r="P3" s="12">
        <v>9</v>
      </c>
      <c r="Q3" s="12">
        <v>20</v>
      </c>
      <c r="R3" s="11">
        <f t="shared" ref="R3:R33" si="4">IF(F3=" "," ",IF(O3*P3+Q3&lt;65,65,O3*P3+Q3))</f>
        <v>65</v>
      </c>
      <c r="S3" s="16"/>
      <c r="T3" s="44"/>
      <c r="U3" s="11">
        <f t="shared" si="0"/>
        <v>3085</v>
      </c>
      <c r="V3" s="25"/>
      <c r="W3" s="28"/>
    </row>
    <row r="4" spans="1:27" x14ac:dyDescent="0.4">
      <c r="A4" s="54" t="s">
        <v>33</v>
      </c>
      <c r="B4" s="12">
        <v>3603</v>
      </c>
      <c r="C4" s="1" t="s">
        <v>35</v>
      </c>
      <c r="D4" s="1" t="s">
        <v>34</v>
      </c>
      <c r="E4" s="1" t="s">
        <v>36</v>
      </c>
      <c r="F4" s="9">
        <v>2900</v>
      </c>
      <c r="G4" s="52">
        <v>1362</v>
      </c>
      <c r="H4" s="52">
        <v>1374</v>
      </c>
      <c r="I4" s="23">
        <f t="shared" si="1"/>
        <v>12</v>
      </c>
      <c r="J4" s="23">
        <v>20</v>
      </c>
      <c r="K4" s="10">
        <v>20</v>
      </c>
      <c r="L4" s="11">
        <f t="shared" si="2"/>
        <v>260</v>
      </c>
      <c r="M4" s="52">
        <v>708</v>
      </c>
      <c r="N4" s="52">
        <v>729</v>
      </c>
      <c r="O4" s="12">
        <f t="shared" si="3"/>
        <v>21</v>
      </c>
      <c r="P4" s="12">
        <v>9</v>
      </c>
      <c r="Q4" s="12">
        <v>20</v>
      </c>
      <c r="R4" s="11">
        <f t="shared" si="4"/>
        <v>209</v>
      </c>
      <c r="S4" s="8"/>
      <c r="T4" s="8"/>
      <c r="U4" s="11">
        <f t="shared" si="0"/>
        <v>3369</v>
      </c>
      <c r="V4" s="25"/>
      <c r="W4" s="28"/>
      <c r="X4" s="1"/>
      <c r="Y4" s="1"/>
      <c r="Z4" s="1"/>
      <c r="AA4" s="1"/>
    </row>
    <row r="5" spans="1:27" s="1" customFormat="1" x14ac:dyDescent="0.4">
      <c r="A5" s="54" t="s">
        <v>33</v>
      </c>
      <c r="B5" s="12">
        <v>3604</v>
      </c>
      <c r="C5" s="1" t="s">
        <v>35</v>
      </c>
      <c r="D5" s="1" t="s">
        <v>34</v>
      </c>
      <c r="E5" s="1" t="s">
        <v>36</v>
      </c>
      <c r="F5" s="62">
        <v>3900</v>
      </c>
      <c r="G5" s="52">
        <v>1597</v>
      </c>
      <c r="H5" s="52">
        <v>1599</v>
      </c>
      <c r="I5" s="23">
        <f>H5-G5</f>
        <v>2</v>
      </c>
      <c r="J5" s="23">
        <v>20</v>
      </c>
      <c r="K5" s="10">
        <v>20</v>
      </c>
      <c r="L5" s="11">
        <f t="shared" si="2"/>
        <v>120</v>
      </c>
      <c r="M5" s="52">
        <v>829</v>
      </c>
      <c r="N5" s="52">
        <v>878</v>
      </c>
      <c r="O5" s="12">
        <f>N5-M5</f>
        <v>49</v>
      </c>
      <c r="P5" s="12">
        <v>9</v>
      </c>
      <c r="Q5" s="12">
        <v>20</v>
      </c>
      <c r="R5" s="11">
        <f t="shared" si="4"/>
        <v>461</v>
      </c>
      <c r="S5" s="28"/>
      <c r="T5" s="44"/>
      <c r="U5" s="11">
        <f t="shared" si="0"/>
        <v>4481</v>
      </c>
      <c r="V5" s="24"/>
      <c r="W5" s="28"/>
      <c r="X5" s="24"/>
      <c r="Y5" s="28"/>
    </row>
    <row r="6" spans="1:27" s="1" customFormat="1" x14ac:dyDescent="0.4">
      <c r="A6" s="54" t="s">
        <v>33</v>
      </c>
      <c r="B6" s="12">
        <v>3605</v>
      </c>
      <c r="C6" s="1" t="s">
        <v>35</v>
      </c>
      <c r="D6" s="1" t="s">
        <v>34</v>
      </c>
      <c r="E6" s="1" t="s">
        <v>36</v>
      </c>
      <c r="F6" s="9">
        <v>2900</v>
      </c>
      <c r="G6" s="52">
        <v>2103</v>
      </c>
      <c r="H6" s="52">
        <v>2125</v>
      </c>
      <c r="I6" s="23">
        <f t="shared" si="1"/>
        <v>22</v>
      </c>
      <c r="J6" s="23">
        <v>20</v>
      </c>
      <c r="K6" s="10">
        <v>20</v>
      </c>
      <c r="L6" s="11">
        <f t="shared" si="2"/>
        <v>460</v>
      </c>
      <c r="M6" s="52">
        <v>16951</v>
      </c>
      <c r="N6" s="52">
        <v>17005</v>
      </c>
      <c r="O6" s="12">
        <f t="shared" si="3"/>
        <v>54</v>
      </c>
      <c r="P6" s="12">
        <v>9</v>
      </c>
      <c r="Q6" s="12">
        <v>20</v>
      </c>
      <c r="R6" s="11">
        <f t="shared" si="4"/>
        <v>506</v>
      </c>
      <c r="S6" s="8"/>
      <c r="T6" s="8"/>
      <c r="U6" s="11">
        <f t="shared" si="0"/>
        <v>3866</v>
      </c>
      <c r="V6" s="24"/>
      <c r="W6" s="28"/>
    </row>
    <row r="7" spans="1:27" s="1" customFormat="1" x14ac:dyDescent="0.4">
      <c r="A7" s="54" t="s">
        <v>33</v>
      </c>
      <c r="B7" s="44">
        <v>3606</v>
      </c>
      <c r="C7" s="1" t="s">
        <v>35</v>
      </c>
      <c r="D7" s="1" t="s">
        <v>34</v>
      </c>
      <c r="E7" s="1" t="s">
        <v>36</v>
      </c>
      <c r="F7" s="62">
        <v>3900</v>
      </c>
      <c r="G7" s="52">
        <v>1792</v>
      </c>
      <c r="H7" s="52">
        <v>1797</v>
      </c>
      <c r="I7" s="23">
        <f>H7-G7</f>
        <v>5</v>
      </c>
      <c r="J7" s="23">
        <v>20</v>
      </c>
      <c r="K7" s="10">
        <v>20</v>
      </c>
      <c r="L7" s="11">
        <f t="shared" si="2"/>
        <v>120</v>
      </c>
      <c r="M7" s="52">
        <v>1507</v>
      </c>
      <c r="N7" s="52">
        <v>1701</v>
      </c>
      <c r="O7" s="12">
        <f>N7-M7</f>
        <v>194</v>
      </c>
      <c r="P7" s="12">
        <v>9</v>
      </c>
      <c r="Q7" s="12">
        <v>20</v>
      </c>
      <c r="R7" s="11">
        <f t="shared" si="4"/>
        <v>1766</v>
      </c>
      <c r="S7" s="28"/>
      <c r="T7" s="44"/>
      <c r="U7" s="11">
        <f t="shared" si="0"/>
        <v>5786</v>
      </c>
      <c r="V7" s="24"/>
      <c r="W7" s="28"/>
      <c r="Y7" s="24"/>
    </row>
    <row r="8" spans="1:27" x14ac:dyDescent="0.4">
      <c r="A8" s="54" t="s">
        <v>33</v>
      </c>
      <c r="B8" s="12">
        <v>3607</v>
      </c>
      <c r="C8" s="1" t="s">
        <v>35</v>
      </c>
      <c r="D8" s="1" t="s">
        <v>34</v>
      </c>
      <c r="E8" s="1" t="s">
        <v>36</v>
      </c>
      <c r="F8" s="9">
        <v>2900</v>
      </c>
      <c r="G8" s="52">
        <v>2302</v>
      </c>
      <c r="H8" s="52">
        <v>2322</v>
      </c>
      <c r="I8" s="23">
        <f t="shared" si="1"/>
        <v>20</v>
      </c>
      <c r="J8" s="23">
        <v>20</v>
      </c>
      <c r="K8" s="10">
        <v>20</v>
      </c>
      <c r="L8" s="11">
        <f t="shared" si="2"/>
        <v>420</v>
      </c>
      <c r="M8" s="52">
        <v>2968</v>
      </c>
      <c r="N8" s="52">
        <v>3084</v>
      </c>
      <c r="O8" s="12">
        <f t="shared" si="3"/>
        <v>116</v>
      </c>
      <c r="P8" s="12">
        <v>9</v>
      </c>
      <c r="Q8" s="12">
        <v>20</v>
      </c>
      <c r="R8" s="11">
        <f t="shared" si="4"/>
        <v>1064</v>
      </c>
      <c r="S8" s="8"/>
      <c r="T8" s="8"/>
      <c r="U8" s="11">
        <f t="shared" si="0"/>
        <v>4384</v>
      </c>
      <c r="V8" s="1"/>
      <c r="W8" s="28"/>
      <c r="X8" s="1"/>
      <c r="Y8" s="1"/>
      <c r="Z8" s="1"/>
      <c r="AA8" s="1"/>
    </row>
    <row r="9" spans="1:27" s="1" customFormat="1" x14ac:dyDescent="0.4">
      <c r="A9" s="54" t="s">
        <v>33</v>
      </c>
      <c r="B9" s="12">
        <v>3608</v>
      </c>
      <c r="C9" s="1" t="s">
        <v>35</v>
      </c>
      <c r="D9" s="1" t="s">
        <v>34</v>
      </c>
      <c r="E9" s="1" t="s">
        <v>36</v>
      </c>
      <c r="F9" s="9">
        <v>2900</v>
      </c>
      <c r="G9" s="52">
        <v>33</v>
      </c>
      <c r="H9" s="52">
        <v>36</v>
      </c>
      <c r="I9" s="23">
        <f t="shared" si="1"/>
        <v>3</v>
      </c>
      <c r="J9" s="23">
        <v>20</v>
      </c>
      <c r="K9" s="10">
        <v>20</v>
      </c>
      <c r="L9" s="11">
        <f t="shared" si="2"/>
        <v>120</v>
      </c>
      <c r="M9" s="52">
        <v>14250</v>
      </c>
      <c r="N9" s="52">
        <v>14300</v>
      </c>
      <c r="O9" s="12">
        <f t="shared" si="3"/>
        <v>50</v>
      </c>
      <c r="P9" s="12">
        <v>9</v>
      </c>
      <c r="Q9" s="12">
        <v>20</v>
      </c>
      <c r="R9" s="11">
        <f t="shared" si="4"/>
        <v>470</v>
      </c>
      <c r="S9" s="8"/>
      <c r="T9" s="8"/>
      <c r="U9" s="11">
        <f t="shared" si="0"/>
        <v>3490</v>
      </c>
      <c r="V9" s="24"/>
      <c r="W9" s="28"/>
    </row>
    <row r="10" spans="1:27" s="1" customFormat="1" x14ac:dyDescent="0.4">
      <c r="A10" s="54" t="s">
        <v>33</v>
      </c>
      <c r="B10" s="12">
        <v>3609</v>
      </c>
      <c r="C10" s="1" t="s">
        <v>35</v>
      </c>
      <c r="D10" s="1" t="s">
        <v>34</v>
      </c>
      <c r="E10" s="1" t="s">
        <v>36</v>
      </c>
      <c r="F10" s="9">
        <v>2900</v>
      </c>
      <c r="G10" s="52">
        <v>1568</v>
      </c>
      <c r="H10" s="52">
        <v>1573</v>
      </c>
      <c r="I10" s="23">
        <f t="shared" si="1"/>
        <v>5</v>
      </c>
      <c r="J10" s="23">
        <v>20</v>
      </c>
      <c r="K10" s="10">
        <v>20</v>
      </c>
      <c r="L10" s="11">
        <f t="shared" si="2"/>
        <v>120</v>
      </c>
      <c r="M10" s="52">
        <v>889</v>
      </c>
      <c r="N10" s="52">
        <v>938</v>
      </c>
      <c r="O10" s="12">
        <f>N10-M10</f>
        <v>49</v>
      </c>
      <c r="P10" s="12">
        <v>9</v>
      </c>
      <c r="Q10" s="12">
        <v>20</v>
      </c>
      <c r="R10" s="11">
        <f t="shared" si="4"/>
        <v>461</v>
      </c>
      <c r="S10" s="8"/>
      <c r="T10" s="8"/>
      <c r="U10" s="11">
        <f t="shared" si="0"/>
        <v>3481</v>
      </c>
      <c r="V10" s="24"/>
      <c r="W10" s="28"/>
    </row>
    <row r="11" spans="1:27" x14ac:dyDescent="0.4">
      <c r="A11" s="54" t="s">
        <v>33</v>
      </c>
      <c r="B11" s="12">
        <v>3610</v>
      </c>
      <c r="C11" s="1" t="s">
        <v>35</v>
      </c>
      <c r="D11" s="1" t="s">
        <v>34</v>
      </c>
      <c r="E11" s="1" t="s">
        <v>36</v>
      </c>
      <c r="F11" s="9">
        <v>2900</v>
      </c>
      <c r="G11" s="52">
        <v>433</v>
      </c>
      <c r="H11" s="52">
        <v>439</v>
      </c>
      <c r="I11" s="23">
        <f t="shared" si="1"/>
        <v>6</v>
      </c>
      <c r="J11" s="23">
        <v>20</v>
      </c>
      <c r="K11" s="10">
        <v>20</v>
      </c>
      <c r="L11" s="11">
        <f t="shared" si="2"/>
        <v>140</v>
      </c>
      <c r="M11" s="52">
        <v>1548</v>
      </c>
      <c r="N11" s="52">
        <v>1631</v>
      </c>
      <c r="O11" s="12">
        <f t="shared" si="3"/>
        <v>83</v>
      </c>
      <c r="P11" s="12">
        <v>9</v>
      </c>
      <c r="Q11" s="12">
        <v>20</v>
      </c>
      <c r="R11" s="11">
        <f t="shared" si="4"/>
        <v>767</v>
      </c>
      <c r="S11" s="8"/>
      <c r="T11" s="8"/>
      <c r="U11" s="11">
        <f t="shared" si="0"/>
        <v>3807</v>
      </c>
      <c r="V11" s="24"/>
      <c r="W11" s="28"/>
      <c r="X11" s="1"/>
      <c r="Y11" s="1"/>
      <c r="Z11" s="1"/>
      <c r="AA11" s="1"/>
    </row>
    <row r="12" spans="1:27" x14ac:dyDescent="0.4">
      <c r="A12" s="54" t="s">
        <v>33</v>
      </c>
      <c r="B12" s="12">
        <v>3611</v>
      </c>
      <c r="C12" s="1" t="s">
        <v>35</v>
      </c>
      <c r="D12" s="1" t="s">
        <v>34</v>
      </c>
      <c r="E12" s="1" t="s">
        <v>36</v>
      </c>
      <c r="F12" s="9">
        <v>2900</v>
      </c>
      <c r="G12" s="52">
        <v>3701</v>
      </c>
      <c r="H12" s="52">
        <v>3718</v>
      </c>
      <c r="I12" s="23">
        <f t="shared" si="1"/>
        <v>17</v>
      </c>
      <c r="J12" s="23">
        <v>20</v>
      </c>
      <c r="K12" s="10">
        <v>20</v>
      </c>
      <c r="L12" s="11">
        <f t="shared" si="2"/>
        <v>360</v>
      </c>
      <c r="M12" s="52">
        <v>2319</v>
      </c>
      <c r="N12" s="52">
        <v>2423</v>
      </c>
      <c r="O12" s="12">
        <f t="shared" si="3"/>
        <v>104</v>
      </c>
      <c r="P12" s="12">
        <v>9</v>
      </c>
      <c r="Q12" s="12">
        <v>20</v>
      </c>
      <c r="R12" s="11">
        <f t="shared" si="4"/>
        <v>956</v>
      </c>
      <c r="S12" s="8"/>
      <c r="T12" s="8"/>
      <c r="U12" s="11">
        <f t="shared" si="0"/>
        <v>4216</v>
      </c>
      <c r="V12" s="1"/>
      <c r="W12" s="28"/>
      <c r="X12" s="1"/>
      <c r="Y12" s="1"/>
      <c r="Z12" s="1"/>
      <c r="AA12" s="1"/>
    </row>
    <row r="13" spans="1:27" x14ac:dyDescent="0.4">
      <c r="A13" s="54" t="s">
        <v>33</v>
      </c>
      <c r="B13" s="12">
        <v>3612</v>
      </c>
      <c r="C13" s="1" t="s">
        <v>35</v>
      </c>
      <c r="D13" s="1" t="s">
        <v>34</v>
      </c>
      <c r="E13" s="1" t="s">
        <v>36</v>
      </c>
      <c r="F13" s="9">
        <v>2900</v>
      </c>
      <c r="G13" s="52">
        <v>1258</v>
      </c>
      <c r="H13" s="52">
        <v>1262</v>
      </c>
      <c r="I13" s="23">
        <f t="shared" si="1"/>
        <v>4</v>
      </c>
      <c r="J13" s="23">
        <v>20</v>
      </c>
      <c r="K13" s="10">
        <v>20</v>
      </c>
      <c r="L13" s="11">
        <f t="shared" si="2"/>
        <v>120</v>
      </c>
      <c r="M13" s="52">
        <v>696</v>
      </c>
      <c r="N13" s="52">
        <v>747</v>
      </c>
      <c r="O13" s="12">
        <f t="shared" si="3"/>
        <v>51</v>
      </c>
      <c r="P13" s="12">
        <v>9</v>
      </c>
      <c r="Q13" s="12">
        <v>20</v>
      </c>
      <c r="R13" s="11">
        <f t="shared" si="4"/>
        <v>479</v>
      </c>
      <c r="S13" s="8"/>
      <c r="T13" s="8"/>
      <c r="U13" s="11">
        <f t="shared" si="0"/>
        <v>3499</v>
      </c>
      <c r="V13" s="24"/>
      <c r="W13" s="28"/>
      <c r="X13" s="1"/>
      <c r="Y13" s="1"/>
      <c r="Z13" s="1"/>
      <c r="AA13" s="1"/>
    </row>
    <row r="14" spans="1:27" x14ac:dyDescent="0.4">
      <c r="A14" s="54" t="s">
        <v>33</v>
      </c>
      <c r="B14" s="12">
        <v>3613</v>
      </c>
      <c r="C14" s="1" t="s">
        <v>35</v>
      </c>
      <c r="D14" s="1" t="s">
        <v>34</v>
      </c>
      <c r="E14" s="1" t="s">
        <v>36</v>
      </c>
      <c r="F14" s="9">
        <v>2900</v>
      </c>
      <c r="G14" s="52">
        <v>1050</v>
      </c>
      <c r="H14" s="52">
        <v>1058</v>
      </c>
      <c r="I14" s="23">
        <f t="shared" si="1"/>
        <v>8</v>
      </c>
      <c r="J14" s="23">
        <v>20</v>
      </c>
      <c r="K14" s="10">
        <v>20</v>
      </c>
      <c r="L14" s="11">
        <f t="shared" si="2"/>
        <v>180</v>
      </c>
      <c r="M14" s="52">
        <v>690</v>
      </c>
      <c r="N14" s="52">
        <v>734</v>
      </c>
      <c r="O14" s="12">
        <f t="shared" si="3"/>
        <v>44</v>
      </c>
      <c r="P14" s="12">
        <v>9</v>
      </c>
      <c r="Q14" s="12">
        <v>20</v>
      </c>
      <c r="R14" s="11">
        <f t="shared" si="4"/>
        <v>416</v>
      </c>
      <c r="S14" s="8"/>
      <c r="T14" s="8"/>
      <c r="U14" s="11">
        <f t="shared" si="0"/>
        <v>3496</v>
      </c>
      <c r="V14" s="24"/>
      <c r="W14" s="28"/>
      <c r="X14" s="1"/>
      <c r="Y14" s="1"/>
      <c r="Z14" s="1"/>
      <c r="AA14" s="1"/>
    </row>
    <row r="15" spans="1:27" s="1" customFormat="1" x14ac:dyDescent="0.4">
      <c r="A15" s="54" t="s">
        <v>33</v>
      </c>
      <c r="B15" s="44">
        <v>3614</v>
      </c>
      <c r="C15" s="1" t="s">
        <v>35</v>
      </c>
      <c r="D15" s="1" t="s">
        <v>34</v>
      </c>
      <c r="E15" s="1" t="s">
        <v>36</v>
      </c>
      <c r="F15" s="62">
        <v>3900</v>
      </c>
      <c r="G15" s="52">
        <v>68</v>
      </c>
      <c r="H15" s="52">
        <v>75</v>
      </c>
      <c r="I15" s="23">
        <f t="shared" si="1"/>
        <v>7</v>
      </c>
      <c r="J15" s="23">
        <v>20</v>
      </c>
      <c r="K15" s="10">
        <v>20</v>
      </c>
      <c r="L15" s="11">
        <f t="shared" si="2"/>
        <v>160</v>
      </c>
      <c r="M15" s="52">
        <v>4992</v>
      </c>
      <c r="N15" s="52">
        <v>5221</v>
      </c>
      <c r="O15" s="12">
        <f t="shared" si="3"/>
        <v>229</v>
      </c>
      <c r="P15" s="12">
        <v>9</v>
      </c>
      <c r="Q15" s="12">
        <v>20</v>
      </c>
      <c r="R15" s="11">
        <f t="shared" si="4"/>
        <v>2081</v>
      </c>
      <c r="S15" s="28"/>
      <c r="T15" s="44"/>
      <c r="U15" s="11">
        <f t="shared" si="0"/>
        <v>6141</v>
      </c>
      <c r="V15" s="24"/>
      <c r="W15" s="28"/>
      <c r="X15" s="24"/>
    </row>
    <row r="16" spans="1:27" x14ac:dyDescent="0.4">
      <c r="A16" s="54" t="s">
        <v>33</v>
      </c>
      <c r="B16" s="12">
        <v>3615</v>
      </c>
      <c r="C16" s="1" t="s">
        <v>35</v>
      </c>
      <c r="D16" s="1" t="s">
        <v>34</v>
      </c>
      <c r="E16" s="1" t="s">
        <v>36</v>
      </c>
      <c r="F16" s="9">
        <v>2900</v>
      </c>
      <c r="G16" s="52">
        <v>36</v>
      </c>
      <c r="H16" s="52">
        <v>40</v>
      </c>
      <c r="I16" s="23">
        <f t="shared" si="1"/>
        <v>4</v>
      </c>
      <c r="J16" s="23">
        <v>20</v>
      </c>
      <c r="K16" s="10">
        <v>20</v>
      </c>
      <c r="L16" s="11">
        <f t="shared" si="2"/>
        <v>120</v>
      </c>
      <c r="M16" s="52">
        <v>2403</v>
      </c>
      <c r="N16" s="52">
        <v>2467</v>
      </c>
      <c r="O16" s="12">
        <f t="shared" si="3"/>
        <v>64</v>
      </c>
      <c r="P16" s="12">
        <v>9</v>
      </c>
      <c r="Q16" s="12">
        <v>20</v>
      </c>
      <c r="R16" s="11">
        <f t="shared" si="4"/>
        <v>596</v>
      </c>
      <c r="S16" s="8"/>
      <c r="T16" s="8"/>
      <c r="U16" s="11">
        <f t="shared" si="0"/>
        <v>3616</v>
      </c>
      <c r="V16" s="1"/>
      <c r="W16" s="28"/>
      <c r="X16" s="1"/>
      <c r="Y16" s="1"/>
      <c r="Z16" s="1"/>
      <c r="AA16" s="1"/>
    </row>
    <row r="17" spans="1:27" x14ac:dyDescent="0.4">
      <c r="A17" s="54" t="s">
        <v>33</v>
      </c>
      <c r="B17" s="12">
        <v>3616</v>
      </c>
      <c r="C17" s="1" t="s">
        <v>35</v>
      </c>
      <c r="D17" s="1" t="s">
        <v>34</v>
      </c>
      <c r="E17" s="1" t="s">
        <v>36</v>
      </c>
      <c r="F17" s="9">
        <v>2200</v>
      </c>
      <c r="G17" s="52">
        <v>921</v>
      </c>
      <c r="H17" s="52">
        <v>929</v>
      </c>
      <c r="I17" s="23">
        <f t="shared" si="1"/>
        <v>8</v>
      </c>
      <c r="J17" s="23">
        <v>20</v>
      </c>
      <c r="K17" s="10">
        <v>20</v>
      </c>
      <c r="L17" s="11">
        <f t="shared" si="2"/>
        <v>180</v>
      </c>
      <c r="M17" s="52">
        <v>284</v>
      </c>
      <c r="N17" s="52">
        <v>294</v>
      </c>
      <c r="O17" s="12">
        <f t="shared" si="3"/>
        <v>10</v>
      </c>
      <c r="P17" s="12">
        <v>9</v>
      </c>
      <c r="Q17" s="12">
        <v>20</v>
      </c>
      <c r="R17" s="11">
        <f t="shared" si="4"/>
        <v>110</v>
      </c>
      <c r="S17" s="8"/>
      <c r="T17" s="8"/>
      <c r="U17" s="11">
        <f t="shared" si="0"/>
        <v>2490</v>
      </c>
      <c r="V17" s="1"/>
      <c r="W17" s="28"/>
      <c r="X17" s="1"/>
      <c r="Y17" s="1"/>
      <c r="Z17" s="1"/>
      <c r="AA17" s="1"/>
    </row>
    <row r="18" spans="1:27" x14ac:dyDescent="0.4">
      <c r="A18" s="54" t="s">
        <v>33</v>
      </c>
      <c r="B18" s="12">
        <v>3617</v>
      </c>
      <c r="C18" s="1" t="s">
        <v>35</v>
      </c>
      <c r="D18" s="1" t="s">
        <v>34</v>
      </c>
      <c r="E18" s="1" t="s">
        <v>36</v>
      </c>
      <c r="F18" s="9">
        <v>2900</v>
      </c>
      <c r="G18" s="52">
        <v>2323</v>
      </c>
      <c r="H18" s="52">
        <v>2338</v>
      </c>
      <c r="I18" s="23">
        <f t="shared" si="1"/>
        <v>15</v>
      </c>
      <c r="J18" s="23">
        <v>20</v>
      </c>
      <c r="K18" s="6">
        <v>20</v>
      </c>
      <c r="L18" s="11">
        <f t="shared" si="2"/>
        <v>320</v>
      </c>
      <c r="M18" s="52">
        <v>1899</v>
      </c>
      <c r="N18" s="52">
        <v>1988</v>
      </c>
      <c r="O18" s="12">
        <f t="shared" si="3"/>
        <v>89</v>
      </c>
      <c r="P18" s="12">
        <v>9</v>
      </c>
      <c r="Q18" s="5">
        <v>20</v>
      </c>
      <c r="R18" s="11">
        <f t="shared" si="4"/>
        <v>821</v>
      </c>
      <c r="S18" s="8"/>
      <c r="T18" s="8"/>
      <c r="U18" s="11">
        <f t="shared" si="0"/>
        <v>4041</v>
      </c>
      <c r="V18" s="1"/>
      <c r="W18" s="28"/>
      <c r="X18" s="1"/>
      <c r="Y18" s="1"/>
      <c r="Z18" s="1"/>
      <c r="AA18" s="1"/>
    </row>
    <row r="19" spans="1:27" x14ac:dyDescent="0.4">
      <c r="A19" s="54" t="s">
        <v>33</v>
      </c>
      <c r="B19" s="44">
        <v>3618</v>
      </c>
      <c r="C19" s="1" t="s">
        <v>35</v>
      </c>
      <c r="D19" s="1" t="s">
        <v>34</v>
      </c>
      <c r="E19" s="1" t="s">
        <v>36</v>
      </c>
      <c r="F19" s="62">
        <v>3100</v>
      </c>
      <c r="G19" s="52">
        <v>4351</v>
      </c>
      <c r="H19" s="52">
        <v>4377</v>
      </c>
      <c r="I19" s="23">
        <f t="shared" si="1"/>
        <v>26</v>
      </c>
      <c r="J19" s="23">
        <v>20</v>
      </c>
      <c r="K19" s="10">
        <v>20</v>
      </c>
      <c r="L19" s="11">
        <f t="shared" si="2"/>
        <v>540</v>
      </c>
      <c r="M19" s="52">
        <v>6027</v>
      </c>
      <c r="N19" s="52">
        <v>6283</v>
      </c>
      <c r="O19" s="12">
        <f t="shared" si="3"/>
        <v>256</v>
      </c>
      <c r="P19" s="12">
        <v>9</v>
      </c>
      <c r="Q19" s="12">
        <v>20</v>
      </c>
      <c r="R19" s="11">
        <f t="shared" si="4"/>
        <v>2324</v>
      </c>
      <c r="S19" s="55"/>
      <c r="T19" s="27"/>
      <c r="U19" s="11">
        <f t="shared" si="0"/>
        <v>5964</v>
      </c>
      <c r="V19" s="1"/>
      <c r="W19" s="28"/>
      <c r="X19" s="1"/>
      <c r="Y19" s="1"/>
      <c r="Z19" s="1"/>
      <c r="AA19" s="1"/>
    </row>
    <row r="20" spans="1:27" s="1" customFormat="1" x14ac:dyDescent="0.4">
      <c r="A20" s="54" t="s">
        <v>33</v>
      </c>
      <c r="B20" s="12">
        <v>3619</v>
      </c>
      <c r="C20" s="1" t="s">
        <v>35</v>
      </c>
      <c r="D20" s="1" t="s">
        <v>34</v>
      </c>
      <c r="E20" s="1" t="s">
        <v>36</v>
      </c>
      <c r="F20" s="9">
        <v>2900</v>
      </c>
      <c r="G20" s="52">
        <v>77</v>
      </c>
      <c r="H20" s="52">
        <v>82</v>
      </c>
      <c r="I20" s="23">
        <f t="shared" si="1"/>
        <v>5</v>
      </c>
      <c r="J20" s="23">
        <v>20</v>
      </c>
      <c r="K20" s="10">
        <v>20</v>
      </c>
      <c r="L20" s="11">
        <f t="shared" si="2"/>
        <v>120</v>
      </c>
      <c r="M20" s="52">
        <v>318</v>
      </c>
      <c r="N20" s="52">
        <v>344</v>
      </c>
      <c r="O20" s="12">
        <f t="shared" si="3"/>
        <v>26</v>
      </c>
      <c r="P20" s="12">
        <v>9</v>
      </c>
      <c r="Q20" s="12">
        <v>20</v>
      </c>
      <c r="R20" s="11">
        <f t="shared" si="4"/>
        <v>254</v>
      </c>
      <c r="S20" s="8"/>
      <c r="T20" s="8"/>
      <c r="U20" s="11">
        <f t="shared" si="0"/>
        <v>3274</v>
      </c>
      <c r="V20" s="24"/>
      <c r="W20" s="28"/>
    </row>
    <row r="21" spans="1:27" s="1" customFormat="1" x14ac:dyDescent="0.4">
      <c r="A21" s="54" t="s">
        <v>33</v>
      </c>
      <c r="B21" s="12">
        <v>3620</v>
      </c>
      <c r="C21" s="1" t="s">
        <v>35</v>
      </c>
      <c r="D21" s="1" t="s">
        <v>34</v>
      </c>
      <c r="E21" s="1" t="s">
        <v>36</v>
      </c>
      <c r="F21" s="9">
        <v>2400</v>
      </c>
      <c r="G21" s="52">
        <v>1775</v>
      </c>
      <c r="H21" s="52">
        <v>1776</v>
      </c>
      <c r="I21" s="23">
        <f t="shared" si="1"/>
        <v>1</v>
      </c>
      <c r="J21" s="23">
        <v>20</v>
      </c>
      <c r="K21" s="10">
        <v>20</v>
      </c>
      <c r="L21" s="11">
        <f t="shared" si="2"/>
        <v>120</v>
      </c>
      <c r="M21" s="52">
        <v>21454</v>
      </c>
      <c r="N21" s="52">
        <v>21476</v>
      </c>
      <c r="O21" s="12">
        <f t="shared" si="3"/>
        <v>22</v>
      </c>
      <c r="P21" s="12">
        <v>9</v>
      </c>
      <c r="Q21" s="12">
        <v>20</v>
      </c>
      <c r="R21" s="11">
        <f t="shared" si="4"/>
        <v>218</v>
      </c>
      <c r="S21" s="8"/>
      <c r="T21" s="8"/>
      <c r="U21" s="11">
        <f t="shared" si="0"/>
        <v>2738</v>
      </c>
      <c r="V21" s="24"/>
      <c r="W21" s="28"/>
    </row>
    <row r="22" spans="1:27" s="1" customFormat="1" x14ac:dyDescent="0.4">
      <c r="A22" s="54" t="s">
        <v>33</v>
      </c>
      <c r="B22" s="12">
        <v>3621</v>
      </c>
      <c r="C22" s="1" t="s">
        <v>35</v>
      </c>
      <c r="D22" s="1" t="s">
        <v>34</v>
      </c>
      <c r="E22" s="1" t="s">
        <v>36</v>
      </c>
      <c r="F22" s="9">
        <v>2400</v>
      </c>
      <c r="G22" s="52">
        <v>1781</v>
      </c>
      <c r="H22" s="52">
        <v>1787</v>
      </c>
      <c r="I22" s="23">
        <f t="shared" si="1"/>
        <v>6</v>
      </c>
      <c r="J22" s="23">
        <v>20</v>
      </c>
      <c r="K22" s="10">
        <v>20</v>
      </c>
      <c r="L22" s="11">
        <f t="shared" si="2"/>
        <v>140</v>
      </c>
      <c r="M22" s="52">
        <v>15350</v>
      </c>
      <c r="N22" s="52">
        <v>15400</v>
      </c>
      <c r="O22" s="12">
        <f t="shared" si="3"/>
        <v>50</v>
      </c>
      <c r="P22" s="12">
        <v>9</v>
      </c>
      <c r="Q22" s="12">
        <v>20</v>
      </c>
      <c r="R22" s="11">
        <f t="shared" si="4"/>
        <v>470</v>
      </c>
      <c r="S22" s="8"/>
      <c r="T22" s="8"/>
      <c r="U22" s="11">
        <f t="shared" si="0"/>
        <v>3010</v>
      </c>
      <c r="V22" s="24"/>
      <c r="W22" s="28"/>
    </row>
    <row r="23" spans="1:27" x14ac:dyDescent="0.4">
      <c r="A23" s="54" t="s">
        <v>33</v>
      </c>
      <c r="B23" s="12">
        <v>3622</v>
      </c>
      <c r="C23" s="1" t="s">
        <v>35</v>
      </c>
      <c r="D23" s="1" t="s">
        <v>34</v>
      </c>
      <c r="E23" s="1" t="s">
        <v>36</v>
      </c>
      <c r="F23" s="9">
        <v>2400</v>
      </c>
      <c r="G23" s="52">
        <v>1782</v>
      </c>
      <c r="H23" s="52">
        <v>1785</v>
      </c>
      <c r="I23" s="23">
        <f t="shared" si="1"/>
        <v>3</v>
      </c>
      <c r="J23" s="23">
        <v>20</v>
      </c>
      <c r="K23" s="10">
        <v>20</v>
      </c>
      <c r="L23" s="11">
        <f t="shared" si="2"/>
        <v>120</v>
      </c>
      <c r="M23" s="52">
        <v>84</v>
      </c>
      <c r="N23" s="52">
        <v>130</v>
      </c>
      <c r="O23" s="12">
        <f t="shared" si="3"/>
        <v>46</v>
      </c>
      <c r="P23" s="12">
        <v>9</v>
      </c>
      <c r="Q23" s="12">
        <v>20</v>
      </c>
      <c r="R23" s="11">
        <f t="shared" si="4"/>
        <v>434</v>
      </c>
      <c r="S23" s="8"/>
      <c r="T23" s="8"/>
      <c r="U23" s="11">
        <f t="shared" si="0"/>
        <v>2954</v>
      </c>
      <c r="V23" s="24"/>
      <c r="W23" s="28"/>
      <c r="X23" s="88"/>
      <c r="Y23" s="1"/>
      <c r="Z23" s="1"/>
      <c r="AA23" s="1"/>
    </row>
    <row r="24" spans="1:27" s="1" customFormat="1" x14ac:dyDescent="0.4">
      <c r="A24" s="54" t="s">
        <v>33</v>
      </c>
      <c r="B24" s="12">
        <v>3623</v>
      </c>
      <c r="C24" s="1" t="s">
        <v>35</v>
      </c>
      <c r="D24" s="1" t="s">
        <v>34</v>
      </c>
      <c r="E24" s="1" t="s">
        <v>36</v>
      </c>
      <c r="F24" s="9">
        <v>2900</v>
      </c>
      <c r="G24" s="52">
        <v>50</v>
      </c>
      <c r="H24" s="52">
        <v>53</v>
      </c>
      <c r="I24" s="23">
        <f t="shared" si="1"/>
        <v>3</v>
      </c>
      <c r="J24" s="23">
        <v>20</v>
      </c>
      <c r="K24" s="10">
        <v>20</v>
      </c>
      <c r="L24" s="11">
        <f t="shared" si="2"/>
        <v>120</v>
      </c>
      <c r="M24" s="52">
        <v>13260</v>
      </c>
      <c r="N24" s="52">
        <v>13292</v>
      </c>
      <c r="O24" s="12">
        <f t="shared" si="3"/>
        <v>32</v>
      </c>
      <c r="P24" s="12">
        <v>9</v>
      </c>
      <c r="Q24" s="12">
        <v>20</v>
      </c>
      <c r="R24" s="11">
        <f t="shared" si="4"/>
        <v>308</v>
      </c>
      <c r="S24" s="8"/>
      <c r="T24" s="8"/>
      <c r="U24" s="11">
        <f t="shared" si="0"/>
        <v>3328</v>
      </c>
      <c r="V24" s="53"/>
      <c r="W24" s="28"/>
    </row>
    <row r="25" spans="1:27" s="1" customFormat="1" x14ac:dyDescent="0.4">
      <c r="A25" s="54" t="s">
        <v>33</v>
      </c>
      <c r="B25" s="12">
        <v>3624</v>
      </c>
      <c r="C25" s="1" t="s">
        <v>35</v>
      </c>
      <c r="D25" s="1" t="s">
        <v>34</v>
      </c>
      <c r="E25" s="1" t="s">
        <v>36</v>
      </c>
      <c r="F25" s="9">
        <v>2400</v>
      </c>
      <c r="G25" s="52">
        <v>11</v>
      </c>
      <c r="H25" s="52">
        <v>12</v>
      </c>
      <c r="I25" s="23">
        <f t="shared" si="1"/>
        <v>1</v>
      </c>
      <c r="J25" s="23">
        <v>20</v>
      </c>
      <c r="K25" s="10">
        <v>20</v>
      </c>
      <c r="L25" s="11">
        <f t="shared" si="2"/>
        <v>120</v>
      </c>
      <c r="M25" s="52">
        <v>13284</v>
      </c>
      <c r="N25" s="52">
        <v>13318</v>
      </c>
      <c r="O25" s="12">
        <f t="shared" si="3"/>
        <v>34</v>
      </c>
      <c r="P25" s="12">
        <v>9</v>
      </c>
      <c r="Q25" s="12">
        <v>20</v>
      </c>
      <c r="R25" s="11">
        <f t="shared" si="4"/>
        <v>326</v>
      </c>
      <c r="S25" s="8"/>
      <c r="T25" s="8"/>
      <c r="U25" s="11">
        <f t="shared" si="0"/>
        <v>2846</v>
      </c>
      <c r="V25" s="25"/>
      <c r="W25" s="28"/>
    </row>
    <row r="26" spans="1:27" s="1" customFormat="1" x14ac:dyDescent="0.4">
      <c r="A26" s="54" t="s">
        <v>33</v>
      </c>
      <c r="B26" s="12">
        <v>3625</v>
      </c>
      <c r="C26" s="1" t="s">
        <v>35</v>
      </c>
      <c r="D26" s="1" t="s">
        <v>34</v>
      </c>
      <c r="E26" s="1" t="s">
        <v>36</v>
      </c>
      <c r="F26" s="9">
        <v>2900</v>
      </c>
      <c r="G26" s="52">
        <v>965</v>
      </c>
      <c r="H26" s="52">
        <v>967</v>
      </c>
      <c r="I26" s="23">
        <f t="shared" si="1"/>
        <v>2</v>
      </c>
      <c r="J26" s="23">
        <v>20</v>
      </c>
      <c r="K26" s="10">
        <v>20</v>
      </c>
      <c r="L26" s="11">
        <f t="shared" si="2"/>
        <v>120</v>
      </c>
      <c r="M26" s="52">
        <v>993</v>
      </c>
      <c r="N26" s="52">
        <v>1013</v>
      </c>
      <c r="O26" s="12">
        <f t="shared" si="3"/>
        <v>20</v>
      </c>
      <c r="P26" s="12">
        <v>9</v>
      </c>
      <c r="Q26" s="12">
        <v>20</v>
      </c>
      <c r="R26" s="11">
        <f t="shared" si="4"/>
        <v>200</v>
      </c>
      <c r="S26" s="8"/>
      <c r="T26" s="8"/>
      <c r="U26" s="11">
        <f t="shared" si="0"/>
        <v>3220</v>
      </c>
      <c r="V26" s="25"/>
      <c r="W26" s="28"/>
      <c r="X26" s="25"/>
    </row>
    <row r="27" spans="1:27" s="1" customFormat="1" x14ac:dyDescent="0.4">
      <c r="A27" s="54" t="s">
        <v>33</v>
      </c>
      <c r="B27" s="12">
        <v>3626</v>
      </c>
      <c r="C27" s="1" t="s">
        <v>35</v>
      </c>
      <c r="D27" s="1" t="s">
        <v>34</v>
      </c>
      <c r="E27" s="1" t="s">
        <v>36</v>
      </c>
      <c r="F27" s="9">
        <v>2900</v>
      </c>
      <c r="G27" s="52">
        <v>7492</v>
      </c>
      <c r="H27" s="52">
        <v>7499</v>
      </c>
      <c r="I27" s="23">
        <f t="shared" si="1"/>
        <v>7</v>
      </c>
      <c r="J27" s="23">
        <v>20</v>
      </c>
      <c r="K27" s="10">
        <v>20</v>
      </c>
      <c r="L27" s="11">
        <f t="shared" si="2"/>
        <v>160</v>
      </c>
      <c r="M27" s="52">
        <v>31717</v>
      </c>
      <c r="N27" s="52">
        <v>31787</v>
      </c>
      <c r="O27" s="12">
        <f t="shared" si="3"/>
        <v>70</v>
      </c>
      <c r="P27" s="12">
        <v>9</v>
      </c>
      <c r="Q27" s="12">
        <v>20</v>
      </c>
      <c r="R27" s="11">
        <f t="shared" si="4"/>
        <v>650</v>
      </c>
      <c r="S27" s="8"/>
      <c r="T27" s="8"/>
      <c r="U27" s="11">
        <f t="shared" si="0"/>
        <v>3710</v>
      </c>
      <c r="V27" s="53"/>
      <c r="W27" s="28"/>
    </row>
    <row r="28" spans="1:27" s="1" customFormat="1" x14ac:dyDescent="0.4">
      <c r="A28" s="54" t="s">
        <v>33</v>
      </c>
      <c r="B28" s="44">
        <v>3627</v>
      </c>
      <c r="C28" s="1" t="s">
        <v>35</v>
      </c>
      <c r="D28" s="1" t="s">
        <v>34</v>
      </c>
      <c r="E28" s="1" t="s">
        <v>36</v>
      </c>
      <c r="F28" s="9">
        <v>2600</v>
      </c>
      <c r="G28" s="52">
        <v>1318</v>
      </c>
      <c r="H28" s="52">
        <v>1323</v>
      </c>
      <c r="I28" s="23">
        <f t="shared" si="1"/>
        <v>5</v>
      </c>
      <c r="J28" s="23">
        <v>20</v>
      </c>
      <c r="K28" s="10">
        <v>20</v>
      </c>
      <c r="L28" s="11">
        <f t="shared" si="2"/>
        <v>120</v>
      </c>
      <c r="M28" s="52">
        <v>251</v>
      </c>
      <c r="N28" s="52">
        <v>310</v>
      </c>
      <c r="O28" s="12">
        <f t="shared" si="3"/>
        <v>59</v>
      </c>
      <c r="P28" s="12">
        <v>9</v>
      </c>
      <c r="Q28" s="12">
        <v>20</v>
      </c>
      <c r="R28" s="11">
        <f t="shared" si="4"/>
        <v>551</v>
      </c>
      <c r="S28" s="16"/>
      <c r="T28" s="8"/>
      <c r="U28" s="11">
        <f t="shared" si="0"/>
        <v>3271</v>
      </c>
      <c r="V28" s="24"/>
      <c r="W28" s="28"/>
      <c r="X28" s="16"/>
      <c r="Y28" s="25"/>
      <c r="Z28" s="25"/>
    </row>
    <row r="29" spans="1:27" s="1" customFormat="1" x14ac:dyDescent="0.4">
      <c r="A29" s="54" t="s">
        <v>33</v>
      </c>
      <c r="B29" s="12">
        <v>3628</v>
      </c>
      <c r="C29" s="1" t="s">
        <v>35</v>
      </c>
      <c r="D29" s="1" t="s">
        <v>34</v>
      </c>
      <c r="E29" s="1" t="s">
        <v>36</v>
      </c>
      <c r="F29" s="9">
        <v>2900</v>
      </c>
      <c r="G29" s="52">
        <v>1229</v>
      </c>
      <c r="H29" s="52">
        <v>1233</v>
      </c>
      <c r="I29" s="23">
        <f t="shared" si="1"/>
        <v>4</v>
      </c>
      <c r="J29" s="23">
        <v>20</v>
      </c>
      <c r="K29" s="10">
        <v>20</v>
      </c>
      <c r="L29" s="11">
        <f t="shared" si="2"/>
        <v>120</v>
      </c>
      <c r="M29" s="52">
        <v>1569</v>
      </c>
      <c r="N29" s="52">
        <v>1627</v>
      </c>
      <c r="O29" s="12">
        <f t="shared" si="3"/>
        <v>58</v>
      </c>
      <c r="P29" s="12">
        <v>9</v>
      </c>
      <c r="Q29" s="12">
        <v>20</v>
      </c>
      <c r="R29" s="11">
        <f t="shared" si="4"/>
        <v>542</v>
      </c>
      <c r="S29" s="8"/>
      <c r="T29" s="8"/>
      <c r="U29" s="11">
        <f t="shared" si="0"/>
        <v>3562</v>
      </c>
      <c r="V29" s="24"/>
      <c r="W29" s="28"/>
      <c r="X29" s="25"/>
    </row>
    <row r="30" spans="1:27" s="1" customFormat="1" x14ac:dyDescent="0.4">
      <c r="A30" s="54" t="s">
        <v>33</v>
      </c>
      <c r="B30" s="12">
        <v>3629</v>
      </c>
      <c r="C30" s="1" t="s">
        <v>35</v>
      </c>
      <c r="D30" s="1" t="s">
        <v>34</v>
      </c>
      <c r="E30" s="1" t="s">
        <v>36</v>
      </c>
      <c r="F30" s="9">
        <v>2900</v>
      </c>
      <c r="G30" s="52">
        <v>3291</v>
      </c>
      <c r="H30" s="52">
        <v>3297</v>
      </c>
      <c r="I30" s="23">
        <f t="shared" si="1"/>
        <v>6</v>
      </c>
      <c r="J30" s="23">
        <v>20</v>
      </c>
      <c r="K30" s="10">
        <v>20</v>
      </c>
      <c r="L30" s="11">
        <f t="shared" si="2"/>
        <v>140</v>
      </c>
      <c r="M30" s="52">
        <v>9994</v>
      </c>
      <c r="N30" s="52">
        <v>10035</v>
      </c>
      <c r="O30" s="12">
        <f t="shared" si="3"/>
        <v>41</v>
      </c>
      <c r="P30" s="12">
        <v>9</v>
      </c>
      <c r="Q30" s="12">
        <v>20</v>
      </c>
      <c r="R30" s="11">
        <f t="shared" si="4"/>
        <v>389</v>
      </c>
      <c r="S30" s="8"/>
      <c r="T30" s="8"/>
      <c r="U30" s="11">
        <f t="shared" si="0"/>
        <v>3429</v>
      </c>
      <c r="V30" s="25"/>
      <c r="W30" s="28"/>
    </row>
    <row r="31" spans="1:27" s="1" customFormat="1" x14ac:dyDescent="0.4">
      <c r="A31" s="54" t="s">
        <v>33</v>
      </c>
      <c r="B31" s="12">
        <v>3630</v>
      </c>
      <c r="C31" s="1" t="s">
        <v>35</v>
      </c>
      <c r="D31" s="1" t="s">
        <v>34</v>
      </c>
      <c r="E31" s="1" t="s">
        <v>36</v>
      </c>
      <c r="F31" s="9">
        <v>2900</v>
      </c>
      <c r="G31" s="52">
        <v>1442</v>
      </c>
      <c r="H31" s="52">
        <v>1452</v>
      </c>
      <c r="I31" s="23">
        <f>H31-G31</f>
        <v>10</v>
      </c>
      <c r="J31" s="23">
        <v>20</v>
      </c>
      <c r="K31" s="10">
        <v>20</v>
      </c>
      <c r="L31" s="11">
        <f t="shared" si="2"/>
        <v>220</v>
      </c>
      <c r="M31" s="52">
        <v>10947</v>
      </c>
      <c r="N31" s="52">
        <v>11013</v>
      </c>
      <c r="O31" s="12">
        <f>N31-M31</f>
        <v>66</v>
      </c>
      <c r="P31" s="12">
        <v>9</v>
      </c>
      <c r="Q31" s="12">
        <v>20</v>
      </c>
      <c r="R31" s="11">
        <f t="shared" si="4"/>
        <v>614</v>
      </c>
      <c r="S31" s="8"/>
      <c r="T31" s="8"/>
      <c r="U31" s="11">
        <f t="shared" si="0"/>
        <v>3734</v>
      </c>
      <c r="V31" s="24"/>
      <c r="W31" s="28"/>
    </row>
    <row r="32" spans="1:27" s="1" customFormat="1" x14ac:dyDescent="0.4">
      <c r="A32" s="54" t="s">
        <v>33</v>
      </c>
      <c r="B32" s="12">
        <v>3631</v>
      </c>
      <c r="C32" s="1" t="s">
        <v>35</v>
      </c>
      <c r="D32" s="1" t="s">
        <v>34</v>
      </c>
      <c r="E32" s="1" t="s">
        <v>36</v>
      </c>
      <c r="F32" s="9">
        <v>2400</v>
      </c>
      <c r="G32" s="52">
        <v>654</v>
      </c>
      <c r="H32" s="52">
        <v>657</v>
      </c>
      <c r="I32" s="23">
        <f t="shared" si="1"/>
        <v>3</v>
      </c>
      <c r="J32" s="23">
        <v>20</v>
      </c>
      <c r="K32" s="10">
        <v>20</v>
      </c>
      <c r="L32" s="11">
        <f t="shared" si="2"/>
        <v>120</v>
      </c>
      <c r="M32" s="52">
        <v>33</v>
      </c>
      <c r="N32" s="52">
        <v>46</v>
      </c>
      <c r="O32" s="12">
        <f t="shared" si="3"/>
        <v>13</v>
      </c>
      <c r="P32" s="12">
        <v>9</v>
      </c>
      <c r="Q32" s="12">
        <v>20</v>
      </c>
      <c r="R32" s="11">
        <f t="shared" si="4"/>
        <v>137</v>
      </c>
      <c r="S32" s="8"/>
      <c r="T32" s="8"/>
      <c r="U32" s="11">
        <f t="shared" si="0"/>
        <v>2657</v>
      </c>
      <c r="V32" s="24"/>
      <c r="W32" s="28"/>
    </row>
    <row r="33" spans="1:27" x14ac:dyDescent="0.4">
      <c r="A33" s="54" t="s">
        <v>33</v>
      </c>
      <c r="B33" s="12">
        <v>3632</v>
      </c>
      <c r="C33" s="1" t="s">
        <v>35</v>
      </c>
      <c r="D33" s="1" t="s">
        <v>34</v>
      </c>
      <c r="E33" s="1" t="s">
        <v>36</v>
      </c>
      <c r="F33" s="9">
        <v>2400</v>
      </c>
      <c r="G33" s="52">
        <v>532</v>
      </c>
      <c r="H33" s="52">
        <v>542</v>
      </c>
      <c r="I33" s="23">
        <f t="shared" si="1"/>
        <v>10</v>
      </c>
      <c r="J33" s="23">
        <v>20</v>
      </c>
      <c r="K33" s="10">
        <v>20</v>
      </c>
      <c r="L33" s="11">
        <f t="shared" si="2"/>
        <v>220</v>
      </c>
      <c r="M33" s="52">
        <v>6205</v>
      </c>
      <c r="N33" s="52">
        <v>6284</v>
      </c>
      <c r="O33" s="12">
        <f t="shared" si="3"/>
        <v>79</v>
      </c>
      <c r="P33" s="12">
        <v>9</v>
      </c>
      <c r="Q33" s="12">
        <v>20</v>
      </c>
      <c r="R33" s="11">
        <f t="shared" si="4"/>
        <v>731</v>
      </c>
      <c r="S33" s="8"/>
      <c r="T33" s="8"/>
      <c r="U33" s="11">
        <f t="shared" si="0"/>
        <v>3351</v>
      </c>
      <c r="V33" s="24"/>
      <c r="W33" s="28"/>
      <c r="X33" s="1"/>
      <c r="Y33" s="1"/>
      <c r="Z33" s="1"/>
      <c r="AA33" s="1"/>
    </row>
    <row r="34" spans="1:27" s="29" customFormat="1" ht="15.75" customHeight="1" x14ac:dyDescent="0.4">
      <c r="A34" s="28"/>
      <c r="B34" s="28"/>
      <c r="C34" s="28"/>
      <c r="D34" s="28"/>
      <c r="E34" s="28"/>
      <c r="F34" s="42"/>
      <c r="G34" s="28"/>
      <c r="H34" s="28"/>
      <c r="I34" s="42"/>
      <c r="J34" s="17"/>
      <c r="K34" s="15"/>
      <c r="L34" s="43"/>
      <c r="M34" s="28"/>
      <c r="N34" s="28"/>
      <c r="O34" s="42"/>
      <c r="P34" s="15"/>
      <c r="Q34" s="15"/>
      <c r="R34" s="43"/>
      <c r="S34" s="43"/>
      <c r="T34" s="43"/>
      <c r="U34" s="43"/>
      <c r="V34" s="60"/>
      <c r="W34" s="28"/>
      <c r="X34" s="28"/>
      <c r="Y34" s="28"/>
      <c r="Z34" s="28"/>
      <c r="AA34" s="28"/>
    </row>
    <row r="35" spans="1:27" x14ac:dyDescent="0.4">
      <c r="J35" s="1"/>
      <c r="P35" s="1"/>
    </row>
  </sheetData>
  <phoneticPr fontId="12" type="noConversion"/>
  <conditionalFormatting sqref="U2:U1048576">
    <cfRule type="duplicateValues" dxfId="10" priority="5"/>
  </conditionalFormatting>
  <conditionalFormatting sqref="U2:U33">
    <cfRule type="duplicateValues" dxfId="9" priority="4"/>
  </conditionalFormatting>
  <pageMargins left="0" right="0" top="0" bottom="0" header="0.3" footer="0.3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Y35"/>
  <sheetViews>
    <sheetView zoomScale="93" zoomScaleNormal="93" workbookViewId="0">
      <selection sqref="A1:V1"/>
    </sheetView>
  </sheetViews>
  <sheetFormatPr defaultColWidth="5.375" defaultRowHeight="18" x14ac:dyDescent="0.4"/>
  <cols>
    <col min="1" max="1" width="5.625" style="26" customWidth="1"/>
    <col min="2" max="2" width="4.375" style="3" customWidth="1"/>
    <col min="3" max="3" width="5.25" style="38" customWidth="1"/>
    <col min="4" max="4" width="7.125" style="38" customWidth="1"/>
    <col min="5" max="5" width="10.75" style="39" customWidth="1"/>
    <col min="6" max="8" width="6.125" style="3" customWidth="1"/>
    <col min="9" max="9" width="5" style="22" customWidth="1"/>
    <col min="10" max="10" width="9.25" style="3" bestFit="1" customWidth="1"/>
    <col min="11" max="11" width="11.875" style="3" bestFit="1" customWidth="1"/>
    <col min="12" max="12" width="5.875" style="3" customWidth="1"/>
    <col min="13" max="13" width="6.125" style="3" customWidth="1"/>
    <col min="14" max="14" width="6.375" style="3" customWidth="1"/>
    <col min="15" max="15" width="5.125" style="3" customWidth="1"/>
    <col min="16" max="16" width="9.25" style="3" bestFit="1" customWidth="1"/>
    <col min="17" max="17" width="11.875" style="3" bestFit="1" customWidth="1"/>
    <col min="18" max="18" width="7" style="3" customWidth="1"/>
    <col min="19" max="19" width="4.25" style="45" customWidth="1"/>
    <col min="20" max="20" width="4.75" style="3" customWidth="1"/>
    <col min="21" max="21" width="7.125" style="3" customWidth="1"/>
    <col min="22" max="22" width="21.75" style="3" customWidth="1"/>
    <col min="23" max="23" width="2.125" style="29" customWidth="1"/>
    <col min="24" max="24" width="20.125" style="3" customWidth="1"/>
    <col min="25" max="16384" width="5.375" style="3"/>
  </cols>
  <sheetData>
    <row r="1" spans="1:25" ht="21" customHeight="1" x14ac:dyDescent="0.4">
      <c r="A1" s="4" t="s">
        <v>0</v>
      </c>
      <c r="B1" s="5" t="s">
        <v>31</v>
      </c>
      <c r="C1" s="4" t="s">
        <v>26</v>
      </c>
      <c r="D1" s="4" t="s">
        <v>27</v>
      </c>
      <c r="E1" s="4" t="s">
        <v>28</v>
      </c>
      <c r="F1" s="73" t="s">
        <v>1</v>
      </c>
      <c r="G1" s="5" t="s">
        <v>2</v>
      </c>
      <c r="H1" s="5" t="s">
        <v>3</v>
      </c>
      <c r="I1" s="5" t="s">
        <v>4</v>
      </c>
      <c r="J1" s="12" t="s">
        <v>38</v>
      </c>
      <c r="K1" s="6" t="s">
        <v>39</v>
      </c>
      <c r="L1" s="7" t="s">
        <v>41</v>
      </c>
      <c r="M1" s="5" t="s">
        <v>5</v>
      </c>
      <c r="N1" s="5" t="s">
        <v>6</v>
      </c>
      <c r="O1" s="5" t="s">
        <v>7</v>
      </c>
      <c r="P1" s="12" t="s">
        <v>37</v>
      </c>
      <c r="Q1" s="5" t="s">
        <v>40</v>
      </c>
      <c r="R1" s="7" t="s">
        <v>42</v>
      </c>
      <c r="S1" s="4" t="s">
        <v>8</v>
      </c>
      <c r="T1" s="4" t="s">
        <v>9</v>
      </c>
      <c r="U1" s="7" t="s">
        <v>10</v>
      </c>
      <c r="V1" s="4" t="s">
        <v>30</v>
      </c>
    </row>
    <row r="2" spans="1:25" ht="15.6" customHeight="1" x14ac:dyDescent="0.4">
      <c r="A2" s="54" t="s">
        <v>33</v>
      </c>
      <c r="B2" s="12">
        <v>3701</v>
      </c>
      <c r="C2" s="1" t="s">
        <v>35</v>
      </c>
      <c r="D2" s="1" t="s">
        <v>34</v>
      </c>
      <c r="E2" s="1" t="s">
        <v>36</v>
      </c>
      <c r="F2" s="9">
        <v>2900</v>
      </c>
      <c r="G2" s="52">
        <v>1626</v>
      </c>
      <c r="H2" s="52">
        <v>1637</v>
      </c>
      <c r="I2" s="35">
        <f>H2-G2</f>
        <v>11</v>
      </c>
      <c r="J2" s="23">
        <v>20</v>
      </c>
      <c r="K2" s="10">
        <v>20</v>
      </c>
      <c r="L2" s="11">
        <f>IF(F2= " "," ",IF(I2*J2+K2&lt;120,120,I2*J2+K2))</f>
        <v>240</v>
      </c>
      <c r="M2" s="52">
        <v>1269</v>
      </c>
      <c r="N2" s="52">
        <v>1310</v>
      </c>
      <c r="O2" s="12">
        <f>N2-M2</f>
        <v>41</v>
      </c>
      <c r="P2" s="12">
        <v>9</v>
      </c>
      <c r="Q2" s="12">
        <v>20</v>
      </c>
      <c r="R2" s="11">
        <f>IF(F2=" "," ",IF(O2*P2+Q2&lt;65,65,O2*P2+Q2))</f>
        <v>389</v>
      </c>
      <c r="S2" s="8"/>
      <c r="T2" s="8"/>
      <c r="U2" s="11">
        <f t="shared" ref="U2:U33" si="0">IF(F2=" ",0,SUM(F2,L2,R2,S2,T2))</f>
        <v>3529</v>
      </c>
      <c r="V2" s="53"/>
      <c r="W2" s="28"/>
      <c r="X2" s="1"/>
      <c r="Y2" s="1"/>
    </row>
    <row r="3" spans="1:25" s="1" customFormat="1" x14ac:dyDescent="0.4">
      <c r="A3" s="54" t="s">
        <v>33</v>
      </c>
      <c r="B3" s="44">
        <v>3702</v>
      </c>
      <c r="C3" s="1" t="s">
        <v>35</v>
      </c>
      <c r="D3" s="1" t="s">
        <v>34</v>
      </c>
      <c r="E3" s="1" t="s">
        <v>36</v>
      </c>
      <c r="F3" s="85">
        <v>3900</v>
      </c>
      <c r="G3" s="52">
        <v>67</v>
      </c>
      <c r="H3" s="52">
        <v>71</v>
      </c>
      <c r="I3" s="35">
        <f>H3-G3</f>
        <v>4</v>
      </c>
      <c r="J3" s="23">
        <v>20</v>
      </c>
      <c r="K3" s="10">
        <v>20</v>
      </c>
      <c r="L3" s="11">
        <f t="shared" ref="L3:L33" si="1">IF(F3= " "," ",IF(I3*J3+K3&lt;120,120,I3*J3+K3))</f>
        <v>120</v>
      </c>
      <c r="M3" s="52">
        <v>51940</v>
      </c>
      <c r="N3" s="52">
        <v>52112</v>
      </c>
      <c r="O3" s="12">
        <f>N3-M3</f>
        <v>172</v>
      </c>
      <c r="P3" s="12">
        <v>9</v>
      </c>
      <c r="Q3" s="12">
        <v>20</v>
      </c>
      <c r="R3" s="11">
        <f t="shared" ref="R3:R33" si="2">IF(F3=" "," ",IF(O3*P3+Q3&lt;65,65,O3*P3+Q3))</f>
        <v>1568</v>
      </c>
      <c r="S3" s="28"/>
      <c r="T3" s="44"/>
      <c r="U3" s="11">
        <f t="shared" si="0"/>
        <v>5588</v>
      </c>
      <c r="V3" s="66"/>
      <c r="W3" s="28"/>
      <c r="X3" s="24"/>
    </row>
    <row r="4" spans="1:25" s="1" customFormat="1" x14ac:dyDescent="0.4">
      <c r="A4" s="54" t="s">
        <v>33</v>
      </c>
      <c r="B4" s="44">
        <v>3703</v>
      </c>
      <c r="C4" s="1" t="s">
        <v>35</v>
      </c>
      <c r="D4" s="1" t="s">
        <v>34</v>
      </c>
      <c r="E4" s="1" t="s">
        <v>36</v>
      </c>
      <c r="F4" s="85">
        <v>3900</v>
      </c>
      <c r="G4" s="52">
        <v>1377</v>
      </c>
      <c r="H4" s="52">
        <v>1379</v>
      </c>
      <c r="I4" s="35">
        <f>H4-G4</f>
        <v>2</v>
      </c>
      <c r="J4" s="23">
        <v>20</v>
      </c>
      <c r="K4" s="10">
        <v>20</v>
      </c>
      <c r="L4" s="11">
        <f t="shared" si="1"/>
        <v>120</v>
      </c>
      <c r="M4" s="52">
        <v>644</v>
      </c>
      <c r="N4" s="52">
        <v>833</v>
      </c>
      <c r="O4" s="12">
        <f>N4-M4</f>
        <v>189</v>
      </c>
      <c r="P4" s="12">
        <v>9</v>
      </c>
      <c r="Q4" s="12">
        <v>20</v>
      </c>
      <c r="R4" s="11">
        <f t="shared" si="2"/>
        <v>1721</v>
      </c>
      <c r="S4" s="28"/>
      <c r="T4" s="44"/>
      <c r="U4" s="11">
        <f t="shared" si="0"/>
        <v>5741</v>
      </c>
      <c r="V4" s="24"/>
      <c r="W4" s="28"/>
    </row>
    <row r="5" spans="1:25" s="1" customFormat="1" x14ac:dyDescent="0.4">
      <c r="A5" s="54" t="s">
        <v>33</v>
      </c>
      <c r="B5" s="44">
        <v>3704</v>
      </c>
      <c r="C5" s="1" t="s">
        <v>35</v>
      </c>
      <c r="D5" s="1" t="s">
        <v>34</v>
      </c>
      <c r="E5" s="1" t="s">
        <v>36</v>
      </c>
      <c r="F5" s="62">
        <v>3900</v>
      </c>
      <c r="G5" s="52">
        <v>1793</v>
      </c>
      <c r="H5" s="52">
        <v>1797</v>
      </c>
      <c r="I5" s="35">
        <f>H5-G5</f>
        <v>4</v>
      </c>
      <c r="J5" s="23">
        <v>20</v>
      </c>
      <c r="K5" s="10">
        <v>20</v>
      </c>
      <c r="L5" s="11">
        <f t="shared" si="1"/>
        <v>120</v>
      </c>
      <c r="M5" s="52">
        <v>795</v>
      </c>
      <c r="N5" s="52">
        <v>1072</v>
      </c>
      <c r="O5" s="12">
        <f t="shared" ref="O5" si="3">N5-M5</f>
        <v>277</v>
      </c>
      <c r="P5" s="12">
        <v>9</v>
      </c>
      <c r="Q5" s="12">
        <v>20</v>
      </c>
      <c r="R5" s="11">
        <f t="shared" si="2"/>
        <v>2513</v>
      </c>
      <c r="S5" s="28"/>
      <c r="T5" s="44"/>
      <c r="U5" s="11">
        <f t="shared" si="0"/>
        <v>6533</v>
      </c>
      <c r="V5" s="25"/>
      <c r="W5" s="28"/>
      <c r="X5" s="16"/>
    </row>
    <row r="6" spans="1:25" s="1" customFormat="1" x14ac:dyDescent="0.4">
      <c r="A6" s="54" t="s">
        <v>33</v>
      </c>
      <c r="B6" s="12">
        <v>3705</v>
      </c>
      <c r="C6" s="1" t="s">
        <v>35</v>
      </c>
      <c r="D6" s="1" t="s">
        <v>34</v>
      </c>
      <c r="E6" s="1" t="s">
        <v>36</v>
      </c>
      <c r="F6" s="9">
        <v>2900</v>
      </c>
      <c r="G6" s="52">
        <v>801</v>
      </c>
      <c r="H6" s="52">
        <v>804</v>
      </c>
      <c r="I6" s="35">
        <f t="shared" ref="I6:I32" si="4">H6-G6</f>
        <v>3</v>
      </c>
      <c r="J6" s="23">
        <v>20</v>
      </c>
      <c r="K6" s="10">
        <v>20</v>
      </c>
      <c r="L6" s="11">
        <f t="shared" si="1"/>
        <v>120</v>
      </c>
      <c r="M6" s="52">
        <v>1040</v>
      </c>
      <c r="N6" s="52">
        <v>1080</v>
      </c>
      <c r="O6" s="12">
        <f t="shared" ref="O6:O32" si="5">N6-M6</f>
        <v>40</v>
      </c>
      <c r="P6" s="12">
        <v>9</v>
      </c>
      <c r="Q6" s="12">
        <v>20</v>
      </c>
      <c r="R6" s="11">
        <f t="shared" si="2"/>
        <v>380</v>
      </c>
      <c r="S6" s="8"/>
      <c r="T6" s="8"/>
      <c r="U6" s="11">
        <f t="shared" si="0"/>
        <v>3400</v>
      </c>
      <c r="V6" s="24"/>
      <c r="W6" s="28"/>
    </row>
    <row r="7" spans="1:25" x14ac:dyDescent="0.4">
      <c r="A7" s="54" t="s">
        <v>33</v>
      </c>
      <c r="B7" s="28">
        <v>3706</v>
      </c>
      <c r="C7" s="1" t="s">
        <v>35</v>
      </c>
      <c r="D7" s="1" t="s">
        <v>34</v>
      </c>
      <c r="E7" s="1" t="s">
        <v>36</v>
      </c>
      <c r="F7" s="85">
        <v>3600</v>
      </c>
      <c r="G7" s="52">
        <v>77</v>
      </c>
      <c r="H7" s="52">
        <v>85</v>
      </c>
      <c r="I7" s="35">
        <f t="shared" si="4"/>
        <v>8</v>
      </c>
      <c r="J7" s="23">
        <v>20</v>
      </c>
      <c r="K7" s="10">
        <v>20</v>
      </c>
      <c r="L7" s="11">
        <f t="shared" si="1"/>
        <v>180</v>
      </c>
      <c r="M7" s="52">
        <v>7824</v>
      </c>
      <c r="N7" s="52">
        <v>7986</v>
      </c>
      <c r="O7" s="12">
        <f t="shared" si="5"/>
        <v>162</v>
      </c>
      <c r="P7" s="12">
        <v>9</v>
      </c>
      <c r="Q7" s="12">
        <v>20</v>
      </c>
      <c r="R7" s="11">
        <f t="shared" si="2"/>
        <v>1478</v>
      </c>
      <c r="S7" s="28"/>
      <c r="T7" s="44"/>
      <c r="U7" s="11">
        <f t="shared" si="0"/>
        <v>5258</v>
      </c>
      <c r="V7" s="24"/>
      <c r="W7" s="28"/>
      <c r="X7" s="1"/>
      <c r="Y7" s="1"/>
    </row>
    <row r="8" spans="1:25" x14ac:dyDescent="0.4">
      <c r="A8" s="54" t="s">
        <v>33</v>
      </c>
      <c r="B8" s="12">
        <v>3707</v>
      </c>
      <c r="C8" s="1" t="s">
        <v>35</v>
      </c>
      <c r="D8" s="1" t="s">
        <v>34</v>
      </c>
      <c r="E8" s="1" t="s">
        <v>36</v>
      </c>
      <c r="F8" s="9">
        <v>2900</v>
      </c>
      <c r="G8" s="52">
        <v>89</v>
      </c>
      <c r="H8" s="52">
        <v>98</v>
      </c>
      <c r="I8" s="35">
        <f t="shared" si="4"/>
        <v>9</v>
      </c>
      <c r="J8" s="23">
        <v>20</v>
      </c>
      <c r="K8" s="10">
        <v>20</v>
      </c>
      <c r="L8" s="11">
        <f t="shared" si="1"/>
        <v>200</v>
      </c>
      <c r="M8" s="52">
        <v>1888</v>
      </c>
      <c r="N8" s="52">
        <v>1948</v>
      </c>
      <c r="O8" s="12">
        <f t="shared" si="5"/>
        <v>60</v>
      </c>
      <c r="P8" s="12">
        <v>9</v>
      </c>
      <c r="Q8" s="12">
        <v>20</v>
      </c>
      <c r="R8" s="11">
        <f t="shared" si="2"/>
        <v>560</v>
      </c>
      <c r="S8" s="8"/>
      <c r="T8" s="8"/>
      <c r="U8" s="11">
        <f t="shared" si="0"/>
        <v>3660</v>
      </c>
      <c r="V8" s="1"/>
      <c r="W8" s="28"/>
      <c r="X8" s="1"/>
      <c r="Y8" s="1"/>
    </row>
    <row r="9" spans="1:25" s="1" customFormat="1" x14ac:dyDescent="0.4">
      <c r="A9" s="54" t="s">
        <v>33</v>
      </c>
      <c r="B9" s="12">
        <v>3708</v>
      </c>
      <c r="C9" s="1" t="s">
        <v>35</v>
      </c>
      <c r="D9" s="1" t="s">
        <v>34</v>
      </c>
      <c r="E9" s="1" t="s">
        <v>36</v>
      </c>
      <c r="F9" s="9">
        <v>2900</v>
      </c>
      <c r="G9" s="52">
        <v>218</v>
      </c>
      <c r="H9" s="52">
        <v>230</v>
      </c>
      <c r="I9" s="35">
        <f t="shared" si="4"/>
        <v>12</v>
      </c>
      <c r="J9" s="23">
        <v>20</v>
      </c>
      <c r="K9" s="10">
        <v>20</v>
      </c>
      <c r="L9" s="11">
        <f t="shared" si="1"/>
        <v>260</v>
      </c>
      <c r="M9" s="52">
        <v>1331</v>
      </c>
      <c r="N9" s="52">
        <v>1391</v>
      </c>
      <c r="O9" s="12">
        <f t="shared" si="5"/>
        <v>60</v>
      </c>
      <c r="P9" s="12">
        <v>9</v>
      </c>
      <c r="Q9" s="12">
        <v>20</v>
      </c>
      <c r="R9" s="11">
        <f t="shared" si="2"/>
        <v>560</v>
      </c>
      <c r="S9" s="8"/>
      <c r="T9" s="27"/>
      <c r="U9" s="11">
        <f t="shared" si="0"/>
        <v>3720</v>
      </c>
      <c r="V9" s="25"/>
      <c r="W9" s="28"/>
    </row>
    <row r="10" spans="1:25" x14ac:dyDescent="0.4">
      <c r="A10" s="54" t="s">
        <v>33</v>
      </c>
      <c r="B10" s="44">
        <v>3709</v>
      </c>
      <c r="C10" s="1" t="s">
        <v>35</v>
      </c>
      <c r="D10" s="1" t="s">
        <v>34</v>
      </c>
      <c r="E10" s="1" t="s">
        <v>36</v>
      </c>
      <c r="F10" s="85">
        <v>3200</v>
      </c>
      <c r="G10" s="52">
        <v>184</v>
      </c>
      <c r="H10" s="52">
        <v>190</v>
      </c>
      <c r="I10" s="35">
        <f t="shared" si="4"/>
        <v>6</v>
      </c>
      <c r="J10" s="23">
        <v>20</v>
      </c>
      <c r="K10" s="10">
        <v>20</v>
      </c>
      <c r="L10" s="11">
        <f t="shared" si="1"/>
        <v>140</v>
      </c>
      <c r="M10" s="52">
        <v>1847</v>
      </c>
      <c r="N10" s="52">
        <v>1895</v>
      </c>
      <c r="O10" s="12">
        <f t="shared" si="5"/>
        <v>48</v>
      </c>
      <c r="P10" s="12">
        <v>9</v>
      </c>
      <c r="Q10" s="12">
        <v>20</v>
      </c>
      <c r="R10" s="11">
        <f t="shared" si="2"/>
        <v>452</v>
      </c>
      <c r="S10" s="61"/>
      <c r="T10" s="44"/>
      <c r="U10" s="11">
        <f t="shared" si="0"/>
        <v>3792</v>
      </c>
      <c r="V10" s="1"/>
      <c r="W10" s="28"/>
      <c r="X10" s="86"/>
      <c r="Y10" s="1"/>
    </row>
    <row r="11" spans="1:25" x14ac:dyDescent="0.4">
      <c r="A11" s="54" t="s">
        <v>33</v>
      </c>
      <c r="B11" s="44">
        <v>3710</v>
      </c>
      <c r="C11" s="1" t="s">
        <v>35</v>
      </c>
      <c r="D11" s="1" t="s">
        <v>34</v>
      </c>
      <c r="E11" s="1" t="s">
        <v>36</v>
      </c>
      <c r="F11" s="62">
        <v>3900</v>
      </c>
      <c r="G11" s="58">
        <v>955</v>
      </c>
      <c r="H11" s="58">
        <v>961</v>
      </c>
      <c r="I11" s="35">
        <f>H11-G11</f>
        <v>6</v>
      </c>
      <c r="J11" s="23">
        <v>20</v>
      </c>
      <c r="K11" s="10">
        <v>20</v>
      </c>
      <c r="L11" s="11">
        <f t="shared" si="1"/>
        <v>140</v>
      </c>
      <c r="M11" s="58">
        <v>1543</v>
      </c>
      <c r="N11" s="58">
        <v>1741</v>
      </c>
      <c r="O11" s="12">
        <f>N11-M11</f>
        <v>198</v>
      </c>
      <c r="P11" s="12">
        <v>9</v>
      </c>
      <c r="Q11" s="12">
        <v>20</v>
      </c>
      <c r="R11" s="11">
        <f t="shared" si="2"/>
        <v>1802</v>
      </c>
      <c r="S11" s="28"/>
      <c r="T11" s="44"/>
      <c r="U11" s="11">
        <f t="shared" si="0"/>
        <v>5842</v>
      </c>
      <c r="V11" s="75"/>
      <c r="W11" s="12"/>
      <c r="X11" s="16"/>
      <c r="Y11" s="1"/>
    </row>
    <row r="12" spans="1:25" ht="17.25" x14ac:dyDescent="0.35">
      <c r="A12" s="54" t="s">
        <v>33</v>
      </c>
      <c r="B12" s="12">
        <v>3711</v>
      </c>
      <c r="C12" s="1" t="s">
        <v>35</v>
      </c>
      <c r="D12" s="1" t="s">
        <v>34</v>
      </c>
      <c r="E12" s="1" t="s">
        <v>36</v>
      </c>
      <c r="F12" s="9">
        <v>2900</v>
      </c>
      <c r="G12" s="58">
        <v>1247</v>
      </c>
      <c r="H12" s="58">
        <v>1251</v>
      </c>
      <c r="I12" s="35">
        <f t="shared" si="4"/>
        <v>4</v>
      </c>
      <c r="J12" s="23">
        <v>20</v>
      </c>
      <c r="K12" s="10">
        <v>20</v>
      </c>
      <c r="L12" s="11">
        <f t="shared" si="1"/>
        <v>120</v>
      </c>
      <c r="M12" s="58">
        <v>1002</v>
      </c>
      <c r="N12" s="58">
        <v>1020</v>
      </c>
      <c r="O12" s="12">
        <f t="shared" si="5"/>
        <v>18</v>
      </c>
      <c r="P12" s="12">
        <v>9</v>
      </c>
      <c r="Q12" s="12">
        <v>20</v>
      </c>
      <c r="R12" s="11">
        <f t="shared" si="2"/>
        <v>182</v>
      </c>
      <c r="S12" s="12"/>
      <c r="T12" s="12"/>
      <c r="U12" s="11">
        <f t="shared" si="0"/>
        <v>3202</v>
      </c>
      <c r="V12" s="75"/>
      <c r="W12" s="12"/>
      <c r="X12" s="1"/>
      <c r="Y12" s="1"/>
    </row>
    <row r="13" spans="1:25" s="1" customFormat="1" x14ac:dyDescent="0.4">
      <c r="A13" s="54" t="s">
        <v>33</v>
      </c>
      <c r="B13" s="44">
        <v>3712</v>
      </c>
      <c r="C13" s="1" t="s">
        <v>35</v>
      </c>
      <c r="D13" s="1" t="s">
        <v>34</v>
      </c>
      <c r="E13" s="1" t="s">
        <v>36</v>
      </c>
      <c r="F13" s="62">
        <v>3900</v>
      </c>
      <c r="G13" s="52">
        <v>1322</v>
      </c>
      <c r="H13" s="52">
        <v>1323</v>
      </c>
      <c r="I13" s="35">
        <f t="shared" si="4"/>
        <v>1</v>
      </c>
      <c r="J13" s="23">
        <v>20</v>
      </c>
      <c r="K13" s="10">
        <v>20</v>
      </c>
      <c r="L13" s="11">
        <f t="shared" si="1"/>
        <v>120</v>
      </c>
      <c r="M13" s="52">
        <v>7790</v>
      </c>
      <c r="N13" s="52">
        <v>7838</v>
      </c>
      <c r="O13" s="12">
        <f t="shared" ref="O13" si="6">N13-M13</f>
        <v>48</v>
      </c>
      <c r="P13" s="12">
        <v>9</v>
      </c>
      <c r="Q13" s="12">
        <v>20</v>
      </c>
      <c r="R13" s="11">
        <f t="shared" si="2"/>
        <v>452</v>
      </c>
      <c r="S13" s="12"/>
      <c r="T13" s="12"/>
      <c r="U13" s="11">
        <f t="shared" si="0"/>
        <v>4472</v>
      </c>
      <c r="V13" s="24"/>
      <c r="W13" s="28"/>
      <c r="X13" s="25"/>
    </row>
    <row r="14" spans="1:25" x14ac:dyDescent="0.4">
      <c r="A14" s="54" t="s">
        <v>33</v>
      </c>
      <c r="B14" s="12">
        <v>3713</v>
      </c>
      <c r="C14" s="1" t="s">
        <v>35</v>
      </c>
      <c r="D14" s="1" t="s">
        <v>34</v>
      </c>
      <c r="E14" s="1" t="s">
        <v>36</v>
      </c>
      <c r="F14" s="9">
        <v>2900</v>
      </c>
      <c r="G14" s="52">
        <v>87</v>
      </c>
      <c r="H14" s="52">
        <v>98</v>
      </c>
      <c r="I14" s="35">
        <f t="shared" si="4"/>
        <v>11</v>
      </c>
      <c r="J14" s="23">
        <v>20</v>
      </c>
      <c r="K14" s="10">
        <v>20</v>
      </c>
      <c r="L14" s="11">
        <f t="shared" si="1"/>
        <v>240</v>
      </c>
      <c r="M14" s="52">
        <v>2032</v>
      </c>
      <c r="N14" s="52">
        <v>2140</v>
      </c>
      <c r="O14" s="12">
        <f t="shared" si="5"/>
        <v>108</v>
      </c>
      <c r="P14" s="12">
        <v>9</v>
      </c>
      <c r="Q14" s="12">
        <v>20</v>
      </c>
      <c r="R14" s="11">
        <f t="shared" si="2"/>
        <v>992</v>
      </c>
      <c r="S14" s="8"/>
      <c r="T14" s="8"/>
      <c r="U14" s="11">
        <f t="shared" si="0"/>
        <v>4132</v>
      </c>
      <c r="V14" s="24"/>
      <c r="W14" s="28"/>
      <c r="X14" s="25"/>
      <c r="Y14" s="1"/>
    </row>
    <row r="15" spans="1:25" s="1" customFormat="1" x14ac:dyDescent="0.4">
      <c r="A15" s="54" t="s">
        <v>33</v>
      </c>
      <c r="B15" s="44">
        <v>3714</v>
      </c>
      <c r="C15" s="1" t="s">
        <v>35</v>
      </c>
      <c r="D15" s="1" t="s">
        <v>34</v>
      </c>
      <c r="E15" s="1" t="s">
        <v>36</v>
      </c>
      <c r="F15" s="9">
        <v>2900</v>
      </c>
      <c r="G15" s="52">
        <v>1317</v>
      </c>
      <c r="H15" s="52">
        <v>1321</v>
      </c>
      <c r="I15" s="35">
        <f t="shared" si="4"/>
        <v>4</v>
      </c>
      <c r="J15" s="23">
        <v>20</v>
      </c>
      <c r="K15" s="10">
        <v>20</v>
      </c>
      <c r="L15" s="11">
        <f t="shared" si="1"/>
        <v>120</v>
      </c>
      <c r="M15" s="52">
        <v>2657</v>
      </c>
      <c r="N15" s="52">
        <v>2740</v>
      </c>
      <c r="O15" s="12">
        <f t="shared" si="5"/>
        <v>83</v>
      </c>
      <c r="P15" s="12">
        <v>9</v>
      </c>
      <c r="Q15" s="12">
        <v>20</v>
      </c>
      <c r="R15" s="11">
        <f t="shared" si="2"/>
        <v>767</v>
      </c>
      <c r="S15" s="8"/>
      <c r="T15" s="8"/>
      <c r="U15" s="11">
        <f t="shared" si="0"/>
        <v>3787</v>
      </c>
      <c r="V15" s="24"/>
      <c r="W15" s="28"/>
      <c r="X15" s="25"/>
    </row>
    <row r="16" spans="1:25" s="1" customFormat="1" x14ac:dyDescent="0.4">
      <c r="A16" s="54" t="s">
        <v>33</v>
      </c>
      <c r="B16" s="44">
        <v>3715</v>
      </c>
      <c r="C16" s="1" t="s">
        <v>35</v>
      </c>
      <c r="D16" s="1" t="s">
        <v>34</v>
      </c>
      <c r="E16" s="1" t="s">
        <v>36</v>
      </c>
      <c r="F16" s="9">
        <v>2900</v>
      </c>
      <c r="G16" s="52">
        <v>2307</v>
      </c>
      <c r="H16" s="52">
        <v>2313</v>
      </c>
      <c r="I16" s="35">
        <f t="shared" si="4"/>
        <v>6</v>
      </c>
      <c r="J16" s="23">
        <v>20</v>
      </c>
      <c r="K16" s="10">
        <v>20</v>
      </c>
      <c r="L16" s="11">
        <f t="shared" si="1"/>
        <v>140</v>
      </c>
      <c r="M16" s="52">
        <v>1021</v>
      </c>
      <c r="N16" s="52">
        <v>1043</v>
      </c>
      <c r="O16" s="12">
        <f t="shared" si="5"/>
        <v>22</v>
      </c>
      <c r="P16" s="12">
        <v>9</v>
      </c>
      <c r="Q16" s="12">
        <v>20</v>
      </c>
      <c r="R16" s="11">
        <f t="shared" si="2"/>
        <v>218</v>
      </c>
      <c r="S16" s="28"/>
      <c r="T16" s="8"/>
      <c r="U16" s="11">
        <f t="shared" si="0"/>
        <v>3258</v>
      </c>
      <c r="V16" s="24"/>
      <c r="W16" s="28"/>
    </row>
    <row r="17" spans="1:25" s="1" customFormat="1" x14ac:dyDescent="0.4">
      <c r="A17" s="54" t="s">
        <v>33</v>
      </c>
      <c r="B17" s="12">
        <v>3716</v>
      </c>
      <c r="C17" s="1" t="s">
        <v>35</v>
      </c>
      <c r="D17" s="1" t="s">
        <v>34</v>
      </c>
      <c r="E17" s="1" t="s">
        <v>36</v>
      </c>
      <c r="F17" s="9">
        <v>2200</v>
      </c>
      <c r="G17" s="52">
        <v>990</v>
      </c>
      <c r="H17" s="52">
        <v>990</v>
      </c>
      <c r="I17" s="35">
        <f t="shared" si="4"/>
        <v>0</v>
      </c>
      <c r="J17" s="23">
        <v>20</v>
      </c>
      <c r="K17" s="10">
        <v>20</v>
      </c>
      <c r="L17" s="11">
        <f t="shared" si="1"/>
        <v>120</v>
      </c>
      <c r="M17" s="52">
        <v>146</v>
      </c>
      <c r="N17" s="52">
        <v>146</v>
      </c>
      <c r="O17" s="12">
        <f t="shared" si="5"/>
        <v>0</v>
      </c>
      <c r="P17" s="12">
        <v>9</v>
      </c>
      <c r="Q17" s="12">
        <v>20</v>
      </c>
      <c r="R17" s="11">
        <f t="shared" si="2"/>
        <v>65</v>
      </c>
      <c r="S17" s="8"/>
      <c r="T17" s="8"/>
      <c r="U17" s="11">
        <f t="shared" si="0"/>
        <v>2385</v>
      </c>
      <c r="V17" s="25"/>
      <c r="W17" s="28"/>
      <c r="X17" s="25"/>
    </row>
    <row r="18" spans="1:25" s="1" customFormat="1" x14ac:dyDescent="0.4">
      <c r="A18" s="54" t="s">
        <v>33</v>
      </c>
      <c r="B18" s="44">
        <v>3717</v>
      </c>
      <c r="C18" s="1" t="s">
        <v>35</v>
      </c>
      <c r="D18" s="1" t="s">
        <v>34</v>
      </c>
      <c r="E18" s="1" t="s">
        <v>36</v>
      </c>
      <c r="F18" s="62">
        <v>3500</v>
      </c>
      <c r="G18" s="52">
        <v>1124</v>
      </c>
      <c r="H18" s="52">
        <v>1128</v>
      </c>
      <c r="I18" s="35">
        <f t="shared" si="4"/>
        <v>4</v>
      </c>
      <c r="J18" s="23">
        <v>20</v>
      </c>
      <c r="K18" s="6">
        <v>20</v>
      </c>
      <c r="L18" s="11">
        <f t="shared" si="1"/>
        <v>120</v>
      </c>
      <c r="M18" s="58">
        <v>428</v>
      </c>
      <c r="N18" s="58">
        <v>496</v>
      </c>
      <c r="O18" s="12">
        <f t="shared" si="5"/>
        <v>68</v>
      </c>
      <c r="P18" s="12">
        <v>9</v>
      </c>
      <c r="Q18" s="5">
        <v>20</v>
      </c>
      <c r="R18" s="11">
        <f t="shared" si="2"/>
        <v>632</v>
      </c>
      <c r="S18" s="28"/>
      <c r="T18" s="8"/>
      <c r="U18" s="11">
        <f t="shared" si="0"/>
        <v>4252</v>
      </c>
      <c r="V18" s="24"/>
      <c r="W18" s="28"/>
      <c r="X18" s="16"/>
    </row>
    <row r="19" spans="1:25" s="1" customFormat="1" x14ac:dyDescent="0.4">
      <c r="A19" s="54" t="s">
        <v>33</v>
      </c>
      <c r="B19" s="12">
        <v>3718</v>
      </c>
      <c r="C19" s="1" t="s">
        <v>35</v>
      </c>
      <c r="D19" s="1" t="s">
        <v>34</v>
      </c>
      <c r="E19" s="1" t="s">
        <v>36</v>
      </c>
      <c r="F19" s="9">
        <v>2400</v>
      </c>
      <c r="G19" s="52">
        <v>942</v>
      </c>
      <c r="H19" s="52">
        <v>945</v>
      </c>
      <c r="I19" s="35">
        <f t="shared" ref="I19:I20" si="7">H19-G19</f>
        <v>3</v>
      </c>
      <c r="J19" s="23">
        <v>20</v>
      </c>
      <c r="K19" s="10">
        <v>20</v>
      </c>
      <c r="L19" s="11">
        <f t="shared" si="1"/>
        <v>120</v>
      </c>
      <c r="M19" s="52">
        <v>13229</v>
      </c>
      <c r="N19" s="52">
        <v>13247</v>
      </c>
      <c r="O19" s="12">
        <f t="shared" ref="O19:O20" si="8">N19-M19</f>
        <v>18</v>
      </c>
      <c r="P19" s="12">
        <v>9</v>
      </c>
      <c r="Q19" s="12">
        <v>20</v>
      </c>
      <c r="R19" s="11">
        <f t="shared" si="2"/>
        <v>182</v>
      </c>
      <c r="S19" s="8"/>
      <c r="T19" s="8"/>
      <c r="U19" s="11">
        <f t="shared" si="0"/>
        <v>2702</v>
      </c>
      <c r="V19" s="24"/>
      <c r="W19" s="28"/>
    </row>
    <row r="20" spans="1:25" s="1" customFormat="1" x14ac:dyDescent="0.4">
      <c r="A20" s="54" t="s">
        <v>33</v>
      </c>
      <c r="B20" s="12">
        <v>3719</v>
      </c>
      <c r="C20" s="1" t="s">
        <v>35</v>
      </c>
      <c r="D20" s="1" t="s">
        <v>34</v>
      </c>
      <c r="E20" s="1" t="s">
        <v>36</v>
      </c>
      <c r="F20" s="9">
        <v>2400</v>
      </c>
      <c r="G20" s="52">
        <v>945</v>
      </c>
      <c r="H20" s="52">
        <v>959</v>
      </c>
      <c r="I20" s="35">
        <f t="shared" si="7"/>
        <v>14</v>
      </c>
      <c r="J20" s="23">
        <v>20</v>
      </c>
      <c r="K20" s="10">
        <v>20</v>
      </c>
      <c r="L20" s="11">
        <f t="shared" si="1"/>
        <v>300</v>
      </c>
      <c r="M20" s="52">
        <v>7263</v>
      </c>
      <c r="N20" s="52">
        <v>7338</v>
      </c>
      <c r="O20" s="12">
        <f t="shared" si="8"/>
        <v>75</v>
      </c>
      <c r="P20" s="12">
        <v>9</v>
      </c>
      <c r="Q20" s="12">
        <v>20</v>
      </c>
      <c r="R20" s="11">
        <f t="shared" si="2"/>
        <v>695</v>
      </c>
      <c r="S20" s="8"/>
      <c r="T20" s="8"/>
      <c r="U20" s="11">
        <f t="shared" si="0"/>
        <v>3395</v>
      </c>
      <c r="V20" s="24"/>
      <c r="W20" s="28"/>
    </row>
    <row r="21" spans="1:25" s="1" customFormat="1" x14ac:dyDescent="0.4">
      <c r="A21" s="54" t="s">
        <v>33</v>
      </c>
      <c r="B21" s="12">
        <v>3720</v>
      </c>
      <c r="C21" s="1" t="s">
        <v>35</v>
      </c>
      <c r="D21" s="1" t="s">
        <v>34</v>
      </c>
      <c r="E21" s="1" t="s">
        <v>36</v>
      </c>
      <c r="F21" s="9">
        <v>2900</v>
      </c>
      <c r="G21" s="52">
        <v>1252</v>
      </c>
      <c r="H21" s="52">
        <v>1255</v>
      </c>
      <c r="I21" s="35">
        <f t="shared" si="4"/>
        <v>3</v>
      </c>
      <c r="J21" s="23">
        <v>20</v>
      </c>
      <c r="K21" s="10">
        <v>20</v>
      </c>
      <c r="L21" s="11">
        <f t="shared" si="1"/>
        <v>120</v>
      </c>
      <c r="M21" s="52">
        <v>14192</v>
      </c>
      <c r="N21" s="52">
        <v>14257</v>
      </c>
      <c r="O21" s="12">
        <f t="shared" si="5"/>
        <v>65</v>
      </c>
      <c r="P21" s="12">
        <v>9</v>
      </c>
      <c r="Q21" s="12">
        <v>20</v>
      </c>
      <c r="R21" s="11">
        <f t="shared" si="2"/>
        <v>605</v>
      </c>
      <c r="S21" s="12"/>
      <c r="T21" s="12"/>
      <c r="U21" s="11">
        <f t="shared" si="0"/>
        <v>3625</v>
      </c>
      <c r="V21" s="66"/>
      <c r="W21" s="28"/>
    </row>
    <row r="22" spans="1:25" s="1" customFormat="1" x14ac:dyDescent="0.4">
      <c r="A22" s="54" t="s">
        <v>33</v>
      </c>
      <c r="B22" s="12">
        <v>3721</v>
      </c>
      <c r="C22" s="1" t="s">
        <v>35</v>
      </c>
      <c r="D22" s="1" t="s">
        <v>34</v>
      </c>
      <c r="E22" s="1" t="s">
        <v>36</v>
      </c>
      <c r="F22" s="9">
        <v>2900</v>
      </c>
      <c r="G22" s="52">
        <v>1218</v>
      </c>
      <c r="H22" s="52">
        <v>1222</v>
      </c>
      <c r="I22" s="35">
        <f t="shared" si="4"/>
        <v>4</v>
      </c>
      <c r="J22" s="23">
        <v>20</v>
      </c>
      <c r="K22" s="10">
        <v>20</v>
      </c>
      <c r="L22" s="11">
        <f t="shared" si="1"/>
        <v>120</v>
      </c>
      <c r="M22" s="52">
        <v>222</v>
      </c>
      <c r="N22" s="52">
        <v>246</v>
      </c>
      <c r="O22" s="12">
        <f t="shared" si="5"/>
        <v>24</v>
      </c>
      <c r="P22" s="12">
        <v>9</v>
      </c>
      <c r="Q22" s="12">
        <v>20</v>
      </c>
      <c r="R22" s="11">
        <f t="shared" si="2"/>
        <v>236</v>
      </c>
      <c r="S22" s="8"/>
      <c r="T22" s="8"/>
      <c r="U22" s="11">
        <f t="shared" si="0"/>
        <v>3256</v>
      </c>
      <c r="V22" s="24"/>
      <c r="W22" s="28"/>
    </row>
    <row r="23" spans="1:25" s="1" customFormat="1" x14ac:dyDescent="0.4">
      <c r="A23" s="54" t="s">
        <v>33</v>
      </c>
      <c r="B23" s="12">
        <v>3722</v>
      </c>
      <c r="C23" s="1" t="s">
        <v>35</v>
      </c>
      <c r="D23" s="1" t="s">
        <v>34</v>
      </c>
      <c r="E23" s="1" t="s">
        <v>36</v>
      </c>
      <c r="F23" s="9">
        <v>2900</v>
      </c>
      <c r="G23" s="52">
        <v>2255</v>
      </c>
      <c r="H23" s="52">
        <v>2268</v>
      </c>
      <c r="I23" s="35">
        <f t="shared" si="4"/>
        <v>13</v>
      </c>
      <c r="J23" s="23">
        <v>20</v>
      </c>
      <c r="K23" s="10">
        <v>20</v>
      </c>
      <c r="L23" s="11">
        <f t="shared" si="1"/>
        <v>280</v>
      </c>
      <c r="M23" s="52">
        <v>2670</v>
      </c>
      <c r="N23" s="52">
        <v>2775</v>
      </c>
      <c r="O23" s="12">
        <f t="shared" si="5"/>
        <v>105</v>
      </c>
      <c r="P23" s="12">
        <v>9</v>
      </c>
      <c r="Q23" s="12">
        <v>20</v>
      </c>
      <c r="R23" s="11">
        <f t="shared" si="2"/>
        <v>965</v>
      </c>
      <c r="S23" s="8"/>
      <c r="T23" s="8"/>
      <c r="U23" s="11">
        <f t="shared" si="0"/>
        <v>4145</v>
      </c>
      <c r="W23" s="28"/>
    </row>
    <row r="24" spans="1:25" s="1" customFormat="1" x14ac:dyDescent="0.4">
      <c r="A24" s="54" t="s">
        <v>33</v>
      </c>
      <c r="B24" s="12">
        <v>3723</v>
      </c>
      <c r="C24" s="1" t="s">
        <v>35</v>
      </c>
      <c r="D24" s="1" t="s">
        <v>34</v>
      </c>
      <c r="E24" s="1" t="s">
        <v>36</v>
      </c>
      <c r="F24" s="9">
        <v>2900</v>
      </c>
      <c r="G24" s="52">
        <v>1253</v>
      </c>
      <c r="H24" s="52">
        <v>1257</v>
      </c>
      <c r="I24" s="35">
        <f t="shared" si="4"/>
        <v>4</v>
      </c>
      <c r="J24" s="23">
        <v>20</v>
      </c>
      <c r="K24" s="10">
        <v>20</v>
      </c>
      <c r="L24" s="11">
        <f t="shared" si="1"/>
        <v>120</v>
      </c>
      <c r="M24" s="52">
        <v>591</v>
      </c>
      <c r="N24" s="52">
        <v>616</v>
      </c>
      <c r="O24" s="12">
        <f>N24-M24</f>
        <v>25</v>
      </c>
      <c r="P24" s="12">
        <v>9</v>
      </c>
      <c r="Q24" s="12">
        <v>20</v>
      </c>
      <c r="R24" s="11">
        <f t="shared" si="2"/>
        <v>245</v>
      </c>
      <c r="S24" s="8"/>
      <c r="T24" s="8"/>
      <c r="U24" s="11">
        <f t="shared" si="0"/>
        <v>3265</v>
      </c>
      <c r="W24" s="28"/>
    </row>
    <row r="25" spans="1:25" s="1" customFormat="1" x14ac:dyDescent="0.4">
      <c r="A25" s="54" t="s">
        <v>33</v>
      </c>
      <c r="B25" s="12">
        <v>3724</v>
      </c>
      <c r="C25" s="1" t="s">
        <v>35</v>
      </c>
      <c r="D25" s="1" t="s">
        <v>34</v>
      </c>
      <c r="E25" s="1" t="s">
        <v>36</v>
      </c>
      <c r="F25" s="9">
        <v>2400</v>
      </c>
      <c r="G25" s="52">
        <v>983</v>
      </c>
      <c r="H25" s="52">
        <v>986</v>
      </c>
      <c r="I25" s="35">
        <f t="shared" ref="I25:I26" si="9">H25-G25</f>
        <v>3</v>
      </c>
      <c r="J25" s="23">
        <v>20</v>
      </c>
      <c r="K25" s="10">
        <v>20</v>
      </c>
      <c r="L25" s="11">
        <f t="shared" si="1"/>
        <v>120</v>
      </c>
      <c r="M25" s="52">
        <v>71</v>
      </c>
      <c r="N25" s="52">
        <v>98</v>
      </c>
      <c r="O25" s="12">
        <f t="shared" ref="O25:O26" si="10">N25-M25</f>
        <v>27</v>
      </c>
      <c r="P25" s="12">
        <v>9</v>
      </c>
      <c r="Q25" s="12">
        <v>20</v>
      </c>
      <c r="R25" s="11">
        <f t="shared" si="2"/>
        <v>263</v>
      </c>
      <c r="S25" s="8"/>
      <c r="T25" s="8"/>
      <c r="U25" s="11">
        <f t="shared" si="0"/>
        <v>2783</v>
      </c>
      <c r="V25" s="24"/>
      <c r="W25" s="28"/>
    </row>
    <row r="26" spans="1:25" s="1" customFormat="1" x14ac:dyDescent="0.4">
      <c r="A26" s="54" t="s">
        <v>33</v>
      </c>
      <c r="B26" s="12">
        <v>3725</v>
      </c>
      <c r="C26" s="1" t="s">
        <v>35</v>
      </c>
      <c r="D26" s="1" t="s">
        <v>34</v>
      </c>
      <c r="E26" s="1" t="s">
        <v>36</v>
      </c>
      <c r="F26" s="9">
        <v>2400</v>
      </c>
      <c r="G26" s="52">
        <v>775</v>
      </c>
      <c r="H26" s="52">
        <v>783</v>
      </c>
      <c r="I26" s="35">
        <f t="shared" si="9"/>
        <v>8</v>
      </c>
      <c r="J26" s="23">
        <v>20</v>
      </c>
      <c r="K26" s="10">
        <v>20</v>
      </c>
      <c r="L26" s="11">
        <f t="shared" si="1"/>
        <v>180</v>
      </c>
      <c r="M26" s="52">
        <v>7713</v>
      </c>
      <c r="N26" s="52">
        <v>7811</v>
      </c>
      <c r="O26" s="12">
        <f t="shared" si="10"/>
        <v>98</v>
      </c>
      <c r="P26" s="12">
        <v>9</v>
      </c>
      <c r="Q26" s="12">
        <v>20</v>
      </c>
      <c r="R26" s="11">
        <f t="shared" si="2"/>
        <v>902</v>
      </c>
      <c r="S26" s="8"/>
      <c r="T26" s="8"/>
      <c r="U26" s="11">
        <f t="shared" si="0"/>
        <v>3482</v>
      </c>
      <c r="V26" s="24"/>
      <c r="W26" s="28"/>
    </row>
    <row r="27" spans="1:25" s="1" customFormat="1" x14ac:dyDescent="0.4">
      <c r="A27" s="54" t="s">
        <v>33</v>
      </c>
      <c r="B27" s="12">
        <v>3726</v>
      </c>
      <c r="C27" s="1" t="s">
        <v>35</v>
      </c>
      <c r="D27" s="1" t="s">
        <v>34</v>
      </c>
      <c r="E27" s="1" t="s">
        <v>36</v>
      </c>
      <c r="F27" s="9">
        <v>2900</v>
      </c>
      <c r="G27" s="52">
        <v>1236</v>
      </c>
      <c r="H27" s="52">
        <v>1252</v>
      </c>
      <c r="I27" s="35">
        <f t="shared" si="4"/>
        <v>16</v>
      </c>
      <c r="J27" s="23">
        <v>20</v>
      </c>
      <c r="K27" s="10">
        <v>20</v>
      </c>
      <c r="L27" s="11">
        <f t="shared" si="1"/>
        <v>340</v>
      </c>
      <c r="M27" s="52">
        <v>1063</v>
      </c>
      <c r="N27" s="52">
        <v>1124</v>
      </c>
      <c r="O27" s="12">
        <f t="shared" si="5"/>
        <v>61</v>
      </c>
      <c r="P27" s="12">
        <v>9</v>
      </c>
      <c r="Q27" s="12">
        <v>20</v>
      </c>
      <c r="R27" s="11">
        <f t="shared" si="2"/>
        <v>569</v>
      </c>
      <c r="S27" s="8"/>
      <c r="T27" s="8"/>
      <c r="U27" s="11">
        <f t="shared" si="0"/>
        <v>3809</v>
      </c>
      <c r="V27" s="24"/>
      <c r="W27" s="28"/>
    </row>
    <row r="28" spans="1:25" s="1" customFormat="1" x14ac:dyDescent="0.4">
      <c r="A28" s="54" t="s">
        <v>33</v>
      </c>
      <c r="B28" s="12">
        <v>3727</v>
      </c>
      <c r="C28" s="1" t="s">
        <v>35</v>
      </c>
      <c r="D28" s="1" t="s">
        <v>34</v>
      </c>
      <c r="E28" s="1" t="s">
        <v>36</v>
      </c>
      <c r="F28" s="9">
        <v>2900</v>
      </c>
      <c r="G28" s="52">
        <v>1183</v>
      </c>
      <c r="H28" s="52">
        <v>1186</v>
      </c>
      <c r="I28" s="35">
        <f t="shared" si="4"/>
        <v>3</v>
      </c>
      <c r="J28" s="23">
        <v>20</v>
      </c>
      <c r="K28" s="10">
        <v>20</v>
      </c>
      <c r="L28" s="11">
        <f t="shared" si="1"/>
        <v>120</v>
      </c>
      <c r="M28" s="52">
        <v>9365</v>
      </c>
      <c r="N28" s="52">
        <v>9453</v>
      </c>
      <c r="O28" s="12">
        <f t="shared" si="5"/>
        <v>88</v>
      </c>
      <c r="P28" s="12">
        <v>9</v>
      </c>
      <c r="Q28" s="12">
        <v>20</v>
      </c>
      <c r="R28" s="11">
        <f t="shared" si="2"/>
        <v>812</v>
      </c>
      <c r="S28" s="8"/>
      <c r="T28" s="8"/>
      <c r="U28" s="11">
        <f t="shared" si="0"/>
        <v>3832</v>
      </c>
      <c r="V28" s="24"/>
      <c r="W28" s="28"/>
    </row>
    <row r="29" spans="1:25" ht="16.7" customHeight="1" x14ac:dyDescent="0.4">
      <c r="A29" s="54" t="s">
        <v>33</v>
      </c>
      <c r="B29" s="12">
        <v>3728</v>
      </c>
      <c r="C29" s="1" t="s">
        <v>35</v>
      </c>
      <c r="D29" s="1" t="s">
        <v>34</v>
      </c>
      <c r="E29" s="1" t="s">
        <v>36</v>
      </c>
      <c r="F29" s="9">
        <v>2900</v>
      </c>
      <c r="G29" s="52">
        <v>1224</v>
      </c>
      <c r="H29" s="52">
        <v>1228</v>
      </c>
      <c r="I29" s="35">
        <f t="shared" si="4"/>
        <v>4</v>
      </c>
      <c r="J29" s="23">
        <v>20</v>
      </c>
      <c r="K29" s="10">
        <v>20</v>
      </c>
      <c r="L29" s="11">
        <f t="shared" si="1"/>
        <v>120</v>
      </c>
      <c r="M29" s="52">
        <v>709</v>
      </c>
      <c r="N29" s="52">
        <v>729</v>
      </c>
      <c r="O29" s="12">
        <f t="shared" si="5"/>
        <v>20</v>
      </c>
      <c r="P29" s="12">
        <v>9</v>
      </c>
      <c r="Q29" s="12">
        <v>20</v>
      </c>
      <c r="R29" s="11">
        <f t="shared" si="2"/>
        <v>200</v>
      </c>
      <c r="S29" s="8"/>
      <c r="T29" s="8"/>
      <c r="U29" s="11">
        <f t="shared" si="0"/>
        <v>3220</v>
      </c>
      <c r="V29" s="24"/>
      <c r="W29" s="28"/>
      <c r="X29" s="1"/>
      <c r="Y29" s="1"/>
    </row>
    <row r="30" spans="1:25" s="1" customFormat="1" x14ac:dyDescent="0.4">
      <c r="A30" s="54" t="s">
        <v>33</v>
      </c>
      <c r="B30" s="12">
        <v>3729</v>
      </c>
      <c r="C30" s="1" t="s">
        <v>35</v>
      </c>
      <c r="D30" s="1" t="s">
        <v>34</v>
      </c>
      <c r="E30" s="1" t="s">
        <v>36</v>
      </c>
      <c r="F30" s="9">
        <v>2900</v>
      </c>
      <c r="G30" s="52">
        <v>456</v>
      </c>
      <c r="H30" s="52">
        <v>459</v>
      </c>
      <c r="I30" s="35">
        <f t="shared" ref="I30:I31" si="11">H30-G30</f>
        <v>3</v>
      </c>
      <c r="J30" s="23">
        <v>20</v>
      </c>
      <c r="K30" s="10">
        <v>20</v>
      </c>
      <c r="L30" s="11">
        <f t="shared" si="1"/>
        <v>120</v>
      </c>
      <c r="M30" s="52">
        <v>187</v>
      </c>
      <c r="N30" s="52">
        <v>209</v>
      </c>
      <c r="O30" s="12">
        <f t="shared" ref="O30:O31" si="12">N30-M30</f>
        <v>22</v>
      </c>
      <c r="P30" s="12">
        <v>9</v>
      </c>
      <c r="Q30" s="12">
        <v>20</v>
      </c>
      <c r="R30" s="11">
        <f t="shared" si="2"/>
        <v>218</v>
      </c>
      <c r="S30" s="8"/>
      <c r="T30" s="8"/>
      <c r="U30" s="11">
        <f t="shared" si="0"/>
        <v>3238</v>
      </c>
      <c r="V30" s="25"/>
      <c r="W30" s="28"/>
    </row>
    <row r="31" spans="1:25" s="1" customFormat="1" x14ac:dyDescent="0.4">
      <c r="A31" s="54" t="s">
        <v>33</v>
      </c>
      <c r="B31" s="12">
        <v>3730</v>
      </c>
      <c r="C31" s="1" t="s">
        <v>35</v>
      </c>
      <c r="D31" s="1" t="s">
        <v>34</v>
      </c>
      <c r="E31" s="1" t="s">
        <v>36</v>
      </c>
      <c r="F31" s="9">
        <v>2900</v>
      </c>
      <c r="G31" s="52">
        <v>1638</v>
      </c>
      <c r="H31" s="52">
        <v>1645</v>
      </c>
      <c r="I31" s="35">
        <f t="shared" si="11"/>
        <v>7</v>
      </c>
      <c r="J31" s="23">
        <v>20</v>
      </c>
      <c r="K31" s="10">
        <v>20</v>
      </c>
      <c r="L31" s="11">
        <f t="shared" si="1"/>
        <v>160</v>
      </c>
      <c r="M31" s="52">
        <v>10869</v>
      </c>
      <c r="N31" s="52">
        <v>10921</v>
      </c>
      <c r="O31" s="12">
        <f t="shared" si="12"/>
        <v>52</v>
      </c>
      <c r="P31" s="12">
        <v>9</v>
      </c>
      <c r="Q31" s="12">
        <v>20</v>
      </c>
      <c r="R31" s="11">
        <f t="shared" si="2"/>
        <v>488</v>
      </c>
      <c r="S31" s="8"/>
      <c r="T31" s="8"/>
      <c r="U31" s="11">
        <f t="shared" si="0"/>
        <v>3548</v>
      </c>
      <c r="V31" s="24"/>
      <c r="W31" s="28"/>
    </row>
    <row r="32" spans="1:25" s="1" customFormat="1" ht="15.4" customHeight="1" x14ac:dyDescent="0.4">
      <c r="A32" s="54" t="s">
        <v>33</v>
      </c>
      <c r="B32" s="12">
        <v>3731</v>
      </c>
      <c r="C32" s="1" t="s">
        <v>35</v>
      </c>
      <c r="D32" s="1" t="s">
        <v>34</v>
      </c>
      <c r="E32" s="1" t="s">
        <v>36</v>
      </c>
      <c r="F32" s="9">
        <v>2900</v>
      </c>
      <c r="G32" s="52">
        <v>41</v>
      </c>
      <c r="H32" s="52">
        <v>45</v>
      </c>
      <c r="I32" s="35">
        <f t="shared" si="4"/>
        <v>4</v>
      </c>
      <c r="J32" s="23">
        <v>20</v>
      </c>
      <c r="K32" s="10">
        <v>20</v>
      </c>
      <c r="L32" s="11">
        <f t="shared" si="1"/>
        <v>120</v>
      </c>
      <c r="M32" s="52">
        <v>464</v>
      </c>
      <c r="N32" s="52">
        <v>487</v>
      </c>
      <c r="O32" s="12">
        <f t="shared" si="5"/>
        <v>23</v>
      </c>
      <c r="P32" s="12">
        <v>9</v>
      </c>
      <c r="Q32" s="12">
        <v>20</v>
      </c>
      <c r="R32" s="11">
        <f t="shared" si="2"/>
        <v>227</v>
      </c>
      <c r="S32" s="8"/>
      <c r="T32" s="8"/>
      <c r="U32" s="11">
        <f t="shared" si="0"/>
        <v>3247</v>
      </c>
      <c r="W32" s="28"/>
    </row>
    <row r="33" spans="1:25" s="1" customFormat="1" ht="15.95" customHeight="1" x14ac:dyDescent="0.4">
      <c r="A33" s="54" t="s">
        <v>33</v>
      </c>
      <c r="B33" s="12">
        <v>3732</v>
      </c>
      <c r="C33" s="1" t="s">
        <v>35</v>
      </c>
      <c r="D33" s="1" t="s">
        <v>34</v>
      </c>
      <c r="E33" s="1" t="s">
        <v>36</v>
      </c>
      <c r="F33" s="9">
        <v>2400</v>
      </c>
      <c r="G33" s="52">
        <v>35</v>
      </c>
      <c r="H33" s="52">
        <v>40</v>
      </c>
      <c r="I33" s="35">
        <f>H33-G33</f>
        <v>5</v>
      </c>
      <c r="J33" s="23">
        <v>20</v>
      </c>
      <c r="K33" s="10">
        <v>20</v>
      </c>
      <c r="L33" s="11">
        <f t="shared" si="1"/>
        <v>120</v>
      </c>
      <c r="M33" s="52">
        <v>46</v>
      </c>
      <c r="N33" s="52">
        <v>60</v>
      </c>
      <c r="O33" s="12">
        <f>N33-M33</f>
        <v>14</v>
      </c>
      <c r="P33" s="12">
        <v>9</v>
      </c>
      <c r="Q33" s="12">
        <v>20</v>
      </c>
      <c r="R33" s="11">
        <f t="shared" si="2"/>
        <v>146</v>
      </c>
      <c r="S33" s="8"/>
      <c r="T33" s="8"/>
      <c r="U33" s="11">
        <f t="shared" si="0"/>
        <v>2666</v>
      </c>
      <c r="V33" s="24"/>
      <c r="W33" s="28"/>
    </row>
    <row r="34" spans="1:25" s="21" customFormat="1" ht="17.100000000000001" customHeight="1" x14ac:dyDescent="0.4">
      <c r="A34" s="33"/>
      <c r="B34" s="15"/>
      <c r="C34" s="16"/>
      <c r="D34" s="16"/>
      <c r="E34" s="15"/>
      <c r="F34" s="17"/>
      <c r="G34" s="15"/>
      <c r="H34" s="15"/>
      <c r="I34" s="34"/>
      <c r="J34" s="17"/>
      <c r="K34" s="15"/>
      <c r="L34" s="19"/>
      <c r="M34" s="15"/>
      <c r="N34" s="15"/>
      <c r="O34" s="15"/>
      <c r="P34" s="15"/>
      <c r="Q34" s="15"/>
      <c r="R34" s="19"/>
      <c r="S34" s="19"/>
      <c r="T34" s="19"/>
      <c r="U34" s="19"/>
      <c r="V34" s="60"/>
      <c r="W34" s="28"/>
      <c r="X34" s="15"/>
      <c r="Y34" s="15"/>
    </row>
    <row r="35" spans="1:25" x14ac:dyDescent="0.4">
      <c r="B35" s="1"/>
      <c r="C35" s="41"/>
      <c r="D35" s="41"/>
      <c r="E35" s="37"/>
      <c r="F35" s="1"/>
      <c r="G35" s="1"/>
      <c r="H35" s="1"/>
      <c r="I35" s="14"/>
      <c r="J35" s="1"/>
      <c r="L35" s="1"/>
      <c r="M35" s="1"/>
      <c r="N35" s="1"/>
      <c r="O35" s="1"/>
      <c r="P35" s="1"/>
      <c r="R35" s="1"/>
      <c r="S35" s="87"/>
      <c r="T35" s="1"/>
      <c r="U35" s="1"/>
      <c r="V35" s="1"/>
      <c r="W35" s="28"/>
      <c r="X35" s="1"/>
      <c r="Y35" s="1"/>
    </row>
  </sheetData>
  <phoneticPr fontId="12" type="noConversion"/>
  <conditionalFormatting sqref="U2:U33">
    <cfRule type="duplicateValues" dxfId="8" priority="8"/>
  </conditionalFormatting>
  <conditionalFormatting sqref="U35:U1048576 U2:U33">
    <cfRule type="duplicateValues" dxfId="7" priority="9"/>
  </conditionalFormatting>
  <pageMargins left="0" right="0" top="0" bottom="0" header="0.3" footer="0.3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E35"/>
  <sheetViews>
    <sheetView zoomScale="86" zoomScaleNormal="86" workbookViewId="0">
      <selection activeCell="K8" sqref="K8"/>
    </sheetView>
  </sheetViews>
  <sheetFormatPr defaultColWidth="5.125" defaultRowHeight="18" x14ac:dyDescent="0.4"/>
  <cols>
    <col min="1" max="1" width="5.875" style="2" customWidth="1"/>
    <col min="2" max="2" width="4.875" style="8" customWidth="1"/>
    <col min="3" max="3" width="4.625" style="41" customWidth="1"/>
    <col min="4" max="4" width="7.375" style="41" customWidth="1"/>
    <col min="5" max="5" width="11.25" style="37" customWidth="1"/>
    <col min="6" max="6" width="6.625" style="1" customWidth="1"/>
    <col min="7" max="7" width="4.75" style="1" customWidth="1"/>
    <col min="8" max="8" width="4.625" style="1" customWidth="1"/>
    <col min="9" max="9" width="5" style="1" customWidth="1"/>
    <col min="10" max="10" width="9.25" style="3" bestFit="1" customWidth="1"/>
    <col min="11" max="11" width="11.875" style="3" bestFit="1" customWidth="1"/>
    <col min="12" max="12" width="7" style="1" customWidth="1"/>
    <col min="13" max="13" width="5.125" style="1" customWidth="1"/>
    <col min="14" max="14" width="5.375" style="1" customWidth="1"/>
    <col min="15" max="15" width="5" style="1" customWidth="1"/>
    <col min="16" max="16" width="9.25" style="3" bestFit="1" customWidth="1"/>
    <col min="17" max="17" width="11.875" style="3" bestFit="1" customWidth="1"/>
    <col min="18" max="18" width="7" style="1" customWidth="1"/>
    <col min="19" max="19" width="4.25" style="1" bestFit="1" customWidth="1"/>
    <col min="20" max="20" width="4.625" style="1" customWidth="1"/>
    <col min="21" max="21" width="8.625" style="1" customWidth="1"/>
    <col min="22" max="22" width="25.25" style="1" customWidth="1"/>
    <col min="23" max="23" width="3.75" style="28" customWidth="1"/>
    <col min="24" max="24" width="27.25" style="1" customWidth="1"/>
    <col min="25" max="26" width="5.125" style="1"/>
    <col min="27" max="27" width="6.25" style="1" bestFit="1" customWidth="1"/>
    <col min="28" max="29" width="8.125" style="1" bestFit="1" customWidth="1"/>
    <col min="30" max="30" width="8.25" style="1" bestFit="1" customWidth="1"/>
    <col min="31" max="31" width="9" style="1" bestFit="1" customWidth="1"/>
    <col min="32" max="16384" width="5.125" style="1"/>
  </cols>
  <sheetData>
    <row r="1" spans="1:31" ht="18" customHeight="1" x14ac:dyDescent="0.4">
      <c r="A1" s="4" t="s">
        <v>0</v>
      </c>
      <c r="B1" s="5" t="s">
        <v>31</v>
      </c>
      <c r="C1" s="4" t="s">
        <v>26</v>
      </c>
      <c r="D1" s="4" t="s">
        <v>27</v>
      </c>
      <c r="E1" s="4" t="s">
        <v>28</v>
      </c>
      <c r="F1" s="73" t="s">
        <v>1</v>
      </c>
      <c r="G1" s="5" t="s">
        <v>2</v>
      </c>
      <c r="H1" s="5" t="s">
        <v>3</v>
      </c>
      <c r="I1" s="5" t="s">
        <v>4</v>
      </c>
      <c r="J1" s="12" t="s">
        <v>38</v>
      </c>
      <c r="K1" s="6" t="s">
        <v>39</v>
      </c>
      <c r="L1" s="7" t="s">
        <v>41</v>
      </c>
      <c r="M1" s="5" t="s">
        <v>5</v>
      </c>
      <c r="N1" s="5" t="s">
        <v>6</v>
      </c>
      <c r="O1" s="5" t="s">
        <v>7</v>
      </c>
      <c r="P1" s="12" t="s">
        <v>37</v>
      </c>
      <c r="Q1" s="5" t="s">
        <v>40</v>
      </c>
      <c r="R1" s="7" t="s">
        <v>42</v>
      </c>
      <c r="S1" s="4" t="s">
        <v>8</v>
      </c>
      <c r="T1" s="4" t="s">
        <v>9</v>
      </c>
      <c r="U1" s="7" t="s">
        <v>10</v>
      </c>
      <c r="V1" s="4" t="s">
        <v>30</v>
      </c>
      <c r="AA1" s="67"/>
      <c r="AB1" s="68"/>
      <c r="AC1" s="70"/>
      <c r="AD1" s="70"/>
      <c r="AE1" s="70"/>
    </row>
    <row r="2" spans="1:31" ht="18" customHeight="1" x14ac:dyDescent="0.4">
      <c r="A2" s="54" t="s">
        <v>33</v>
      </c>
      <c r="B2" s="8">
        <v>3801</v>
      </c>
      <c r="C2" s="1" t="s">
        <v>35</v>
      </c>
      <c r="D2" s="1" t="s">
        <v>34</v>
      </c>
      <c r="E2" s="1" t="s">
        <v>36</v>
      </c>
      <c r="F2" s="18">
        <v>2900</v>
      </c>
      <c r="G2" s="52">
        <v>98</v>
      </c>
      <c r="H2" s="52">
        <v>102</v>
      </c>
      <c r="I2" s="23">
        <f>H2-G2</f>
        <v>4</v>
      </c>
      <c r="J2" s="23">
        <v>20</v>
      </c>
      <c r="K2" s="10">
        <v>20</v>
      </c>
      <c r="L2" s="11">
        <f>IF(F2= " "," ",IF(I2*J2+K2&lt;120,120,I2*J2+K2))</f>
        <v>120</v>
      </c>
      <c r="M2" s="52">
        <v>1134</v>
      </c>
      <c r="N2" s="52">
        <v>1157</v>
      </c>
      <c r="O2" s="12">
        <f>N2-M2</f>
        <v>23</v>
      </c>
      <c r="P2" s="12">
        <v>9</v>
      </c>
      <c r="Q2" s="12">
        <v>20</v>
      </c>
      <c r="R2" s="11">
        <f>IF(F2=" "," ",IF(O2*P2+Q2&lt;65,65,O2*P2+Q2))</f>
        <v>227</v>
      </c>
      <c r="S2" s="8"/>
      <c r="T2" s="8"/>
      <c r="U2" s="11">
        <f t="shared" ref="U2:U13" si="0">IF(F2=" ",0,SUM(F2,L2,R2,S2,T2))</f>
        <v>3247</v>
      </c>
      <c r="V2" s="13"/>
      <c r="AA2" s="67"/>
      <c r="AB2" s="68"/>
      <c r="AC2" s="67"/>
      <c r="AD2" s="67"/>
      <c r="AE2" s="71"/>
    </row>
    <row r="3" spans="1:31" ht="18" customHeight="1" x14ac:dyDescent="0.4">
      <c r="A3" s="54" t="s">
        <v>33</v>
      </c>
      <c r="B3" s="8">
        <v>3802</v>
      </c>
      <c r="C3" s="1" t="s">
        <v>35</v>
      </c>
      <c r="D3" s="1" t="s">
        <v>34</v>
      </c>
      <c r="E3" s="1" t="s">
        <v>36</v>
      </c>
      <c r="F3" s="9">
        <v>2900</v>
      </c>
      <c r="G3" s="52">
        <v>2240</v>
      </c>
      <c r="H3" s="52">
        <v>2260</v>
      </c>
      <c r="I3" s="23">
        <f t="shared" ref="I3:I33" si="1">H3-G3</f>
        <v>20</v>
      </c>
      <c r="J3" s="23">
        <v>20</v>
      </c>
      <c r="K3" s="10">
        <v>20</v>
      </c>
      <c r="L3" s="11">
        <f t="shared" ref="L3:L33" si="2">IF(F3= " "," ",IF(I3*J3+K3&lt;120,120,I3*J3+K3))</f>
        <v>420</v>
      </c>
      <c r="M3" s="52">
        <v>1660</v>
      </c>
      <c r="N3" s="52">
        <v>1722</v>
      </c>
      <c r="O3" s="12">
        <f t="shared" ref="O3:O33" si="3">N3-M3</f>
        <v>62</v>
      </c>
      <c r="P3" s="12">
        <v>9</v>
      </c>
      <c r="Q3" s="12">
        <v>20</v>
      </c>
      <c r="R3" s="11">
        <f t="shared" ref="R3:R33" si="4">IF(F3=" "," ",IF(O3*P3+Q3&lt;65,65,O3*P3+Q3))</f>
        <v>578</v>
      </c>
      <c r="S3" s="12"/>
      <c r="T3" s="12"/>
      <c r="U3" s="11">
        <f t="shared" si="0"/>
        <v>3898</v>
      </c>
      <c r="V3" s="13"/>
      <c r="AA3" s="67"/>
      <c r="AB3" s="68"/>
      <c r="AC3" s="67"/>
      <c r="AD3" s="67"/>
      <c r="AE3" s="71"/>
    </row>
    <row r="4" spans="1:31" ht="18" customHeight="1" x14ac:dyDescent="0.4">
      <c r="A4" s="54" t="s">
        <v>33</v>
      </c>
      <c r="B4" s="8">
        <v>3803</v>
      </c>
      <c r="C4" s="1" t="s">
        <v>35</v>
      </c>
      <c r="D4" s="1" t="s">
        <v>34</v>
      </c>
      <c r="E4" s="1" t="s">
        <v>36</v>
      </c>
      <c r="F4" s="18">
        <v>2900</v>
      </c>
      <c r="G4" s="52">
        <v>64</v>
      </c>
      <c r="H4" s="52">
        <v>69</v>
      </c>
      <c r="I4" s="23">
        <f t="shared" si="1"/>
        <v>5</v>
      </c>
      <c r="J4" s="23">
        <v>20</v>
      </c>
      <c r="K4" s="10">
        <v>20</v>
      </c>
      <c r="L4" s="11">
        <f t="shared" si="2"/>
        <v>120</v>
      </c>
      <c r="M4" s="52">
        <v>1079</v>
      </c>
      <c r="N4" s="52">
        <v>1110</v>
      </c>
      <c r="O4" s="12">
        <f t="shared" si="3"/>
        <v>31</v>
      </c>
      <c r="P4" s="12">
        <v>9</v>
      </c>
      <c r="Q4" s="12">
        <v>20</v>
      </c>
      <c r="R4" s="11">
        <f t="shared" si="4"/>
        <v>299</v>
      </c>
      <c r="S4" s="49"/>
      <c r="T4" s="49"/>
      <c r="U4" s="11">
        <f t="shared" si="0"/>
        <v>3319</v>
      </c>
      <c r="V4" s="50"/>
      <c r="AA4" s="67"/>
      <c r="AB4" s="68"/>
      <c r="AC4" s="67"/>
      <c r="AD4" s="67"/>
      <c r="AE4" s="71"/>
    </row>
    <row r="5" spans="1:31" ht="18" customHeight="1" x14ac:dyDescent="0.4">
      <c r="A5" s="54" t="s">
        <v>33</v>
      </c>
      <c r="B5" s="8">
        <v>3804</v>
      </c>
      <c r="C5" s="1" t="s">
        <v>35</v>
      </c>
      <c r="D5" s="1" t="s">
        <v>34</v>
      </c>
      <c r="E5" s="1" t="s">
        <v>36</v>
      </c>
      <c r="F5" s="9">
        <v>3900</v>
      </c>
      <c r="G5" s="52">
        <v>1176</v>
      </c>
      <c r="H5" s="52">
        <v>1181</v>
      </c>
      <c r="I5" s="23">
        <f t="shared" si="1"/>
        <v>5</v>
      </c>
      <c r="J5" s="23">
        <v>20</v>
      </c>
      <c r="K5" s="10">
        <v>20</v>
      </c>
      <c r="L5" s="11">
        <f t="shared" si="2"/>
        <v>120</v>
      </c>
      <c r="M5" s="52">
        <v>9939</v>
      </c>
      <c r="N5" s="52">
        <v>147</v>
      </c>
      <c r="O5" s="12">
        <f t="shared" si="3"/>
        <v>-9792</v>
      </c>
      <c r="P5" s="12">
        <v>9</v>
      </c>
      <c r="Q5" s="12">
        <v>20</v>
      </c>
      <c r="R5" s="11">
        <f t="shared" si="4"/>
        <v>65</v>
      </c>
      <c r="S5" s="28"/>
      <c r="T5" s="44"/>
      <c r="U5" s="11">
        <f t="shared" si="0"/>
        <v>4085</v>
      </c>
      <c r="V5" s="25"/>
      <c r="X5" s="16"/>
      <c r="AA5" s="67"/>
      <c r="AB5" s="68"/>
      <c r="AC5" s="67"/>
      <c r="AD5" s="67"/>
      <c r="AE5" s="71"/>
    </row>
    <row r="6" spans="1:31" ht="18" customHeight="1" x14ac:dyDescent="0.4">
      <c r="A6" s="54" t="s">
        <v>33</v>
      </c>
      <c r="B6" s="8">
        <v>3805</v>
      </c>
      <c r="C6" s="1" t="s">
        <v>35</v>
      </c>
      <c r="D6" s="1" t="s">
        <v>34</v>
      </c>
      <c r="E6" s="1" t="s">
        <v>36</v>
      </c>
      <c r="F6" s="18">
        <v>2900</v>
      </c>
      <c r="G6" s="52">
        <v>1442</v>
      </c>
      <c r="H6" s="52">
        <v>1447</v>
      </c>
      <c r="I6" s="23">
        <f t="shared" si="1"/>
        <v>5</v>
      </c>
      <c r="J6" s="23">
        <v>20</v>
      </c>
      <c r="K6" s="10">
        <v>20</v>
      </c>
      <c r="L6" s="11">
        <f t="shared" si="2"/>
        <v>120</v>
      </c>
      <c r="M6" s="52">
        <v>1689</v>
      </c>
      <c r="N6" s="52">
        <v>1758</v>
      </c>
      <c r="O6" s="12">
        <f t="shared" si="3"/>
        <v>69</v>
      </c>
      <c r="P6" s="12">
        <v>9</v>
      </c>
      <c r="Q6" s="12">
        <v>20</v>
      </c>
      <c r="R6" s="11">
        <f t="shared" si="4"/>
        <v>641</v>
      </c>
      <c r="S6" s="8"/>
      <c r="T6" s="8"/>
      <c r="U6" s="11">
        <f t="shared" si="0"/>
        <v>3661</v>
      </c>
      <c r="V6" s="13"/>
      <c r="AA6" s="67"/>
      <c r="AB6" s="68"/>
      <c r="AC6" s="67"/>
      <c r="AD6" s="67"/>
      <c r="AE6" s="71"/>
    </row>
    <row r="7" spans="1:31" ht="18" customHeight="1" x14ac:dyDescent="0.4">
      <c r="A7" s="54" t="s">
        <v>33</v>
      </c>
      <c r="B7" s="8">
        <v>3806</v>
      </c>
      <c r="C7" s="1" t="s">
        <v>35</v>
      </c>
      <c r="D7" s="1" t="s">
        <v>34</v>
      </c>
      <c r="E7" s="1" t="s">
        <v>36</v>
      </c>
      <c r="F7" s="9">
        <v>3300</v>
      </c>
      <c r="G7" s="52">
        <v>891</v>
      </c>
      <c r="H7" s="52">
        <v>898</v>
      </c>
      <c r="I7" s="23">
        <f t="shared" si="1"/>
        <v>7</v>
      </c>
      <c r="J7" s="23">
        <v>20</v>
      </c>
      <c r="K7" s="10">
        <v>20</v>
      </c>
      <c r="L7" s="11">
        <f t="shared" si="2"/>
        <v>160</v>
      </c>
      <c r="M7" s="52">
        <v>624</v>
      </c>
      <c r="N7" s="52">
        <v>652</v>
      </c>
      <c r="O7" s="12">
        <f t="shared" si="3"/>
        <v>28</v>
      </c>
      <c r="P7" s="12">
        <v>9</v>
      </c>
      <c r="Q7" s="12">
        <v>20</v>
      </c>
      <c r="R7" s="11">
        <f t="shared" si="4"/>
        <v>272</v>
      </c>
      <c r="S7" s="28"/>
      <c r="T7" s="8"/>
      <c r="U7" s="11">
        <f t="shared" si="0"/>
        <v>3732</v>
      </c>
      <c r="X7" s="24"/>
      <c r="Y7" s="28"/>
      <c r="AA7" s="67"/>
      <c r="AB7" s="68"/>
      <c r="AC7" s="67"/>
      <c r="AD7" s="67"/>
      <c r="AE7" s="71"/>
    </row>
    <row r="8" spans="1:31" ht="18" customHeight="1" x14ac:dyDescent="0.4">
      <c r="A8" s="54" t="s">
        <v>33</v>
      </c>
      <c r="B8" s="8">
        <v>3807</v>
      </c>
      <c r="C8" s="1" t="s">
        <v>35</v>
      </c>
      <c r="D8" s="1" t="s">
        <v>34</v>
      </c>
      <c r="E8" s="1" t="s">
        <v>36</v>
      </c>
      <c r="F8" s="18">
        <v>3900</v>
      </c>
      <c r="G8" s="52">
        <v>15</v>
      </c>
      <c r="H8" s="52">
        <v>17</v>
      </c>
      <c r="I8" s="23">
        <f t="shared" si="1"/>
        <v>2</v>
      </c>
      <c r="J8" s="23">
        <v>20</v>
      </c>
      <c r="K8" s="10">
        <v>20</v>
      </c>
      <c r="L8" s="11">
        <f t="shared" si="2"/>
        <v>120</v>
      </c>
      <c r="M8" s="52">
        <v>9938</v>
      </c>
      <c r="N8" s="52">
        <v>10283</v>
      </c>
      <c r="O8" s="12">
        <f t="shared" si="3"/>
        <v>345</v>
      </c>
      <c r="P8" s="12">
        <v>9</v>
      </c>
      <c r="Q8" s="12">
        <v>20</v>
      </c>
      <c r="R8" s="11">
        <f t="shared" si="4"/>
        <v>3125</v>
      </c>
      <c r="S8" s="28"/>
      <c r="T8" s="44"/>
      <c r="U8" s="11">
        <f t="shared" si="0"/>
        <v>7145</v>
      </c>
      <c r="V8" s="25"/>
      <c r="X8" s="16"/>
      <c r="AA8" s="67"/>
      <c r="AB8" s="68"/>
      <c r="AC8" s="67"/>
      <c r="AD8" s="67"/>
      <c r="AE8" s="71"/>
    </row>
    <row r="9" spans="1:31" ht="18" customHeight="1" x14ac:dyDescent="0.4">
      <c r="A9" s="54" t="s">
        <v>33</v>
      </c>
      <c r="B9" s="8">
        <v>3808</v>
      </c>
      <c r="C9" s="1" t="s">
        <v>35</v>
      </c>
      <c r="D9" s="1" t="s">
        <v>34</v>
      </c>
      <c r="E9" s="1" t="s">
        <v>36</v>
      </c>
      <c r="F9" s="9">
        <v>2900</v>
      </c>
      <c r="G9" s="52">
        <v>2</v>
      </c>
      <c r="H9" s="52">
        <v>2</v>
      </c>
      <c r="I9" s="23">
        <f t="shared" si="1"/>
        <v>0</v>
      </c>
      <c r="J9" s="23">
        <v>20</v>
      </c>
      <c r="K9" s="10">
        <v>20</v>
      </c>
      <c r="L9" s="11">
        <f t="shared" si="2"/>
        <v>120</v>
      </c>
      <c r="M9" s="52">
        <v>4774</v>
      </c>
      <c r="N9" s="52">
        <v>4774</v>
      </c>
      <c r="O9" s="12">
        <f t="shared" ref="O9" si="5">N9-M9</f>
        <v>0</v>
      </c>
      <c r="P9" s="12">
        <v>9</v>
      </c>
      <c r="Q9" s="12">
        <v>20</v>
      </c>
      <c r="R9" s="11">
        <f t="shared" si="4"/>
        <v>65</v>
      </c>
      <c r="S9" s="8"/>
      <c r="T9" s="8"/>
      <c r="U9" s="11">
        <f t="shared" si="0"/>
        <v>3085</v>
      </c>
      <c r="V9" s="2"/>
      <c r="AA9" s="67"/>
      <c r="AB9" s="68"/>
      <c r="AC9" s="67"/>
      <c r="AD9" s="67"/>
      <c r="AE9" s="71"/>
    </row>
    <row r="10" spans="1:31" ht="18" customHeight="1" x14ac:dyDescent="0.4">
      <c r="A10" s="54" t="s">
        <v>33</v>
      </c>
      <c r="B10" s="8">
        <v>3809</v>
      </c>
      <c r="C10" s="1" t="s">
        <v>35</v>
      </c>
      <c r="D10" s="1" t="s">
        <v>34</v>
      </c>
      <c r="E10" s="1" t="s">
        <v>36</v>
      </c>
      <c r="F10" s="18">
        <v>3900</v>
      </c>
      <c r="G10" s="52">
        <v>1298</v>
      </c>
      <c r="H10" s="52">
        <v>1304</v>
      </c>
      <c r="I10" s="23">
        <f t="shared" si="1"/>
        <v>6</v>
      </c>
      <c r="J10" s="23">
        <v>20</v>
      </c>
      <c r="K10" s="10">
        <v>20</v>
      </c>
      <c r="L10" s="11">
        <f t="shared" si="2"/>
        <v>140</v>
      </c>
      <c r="M10" s="52">
        <v>6016</v>
      </c>
      <c r="N10" s="52">
        <v>6360</v>
      </c>
      <c r="O10" s="12">
        <f t="shared" si="3"/>
        <v>344</v>
      </c>
      <c r="P10" s="12">
        <v>9</v>
      </c>
      <c r="Q10" s="12">
        <v>20</v>
      </c>
      <c r="R10" s="11">
        <f t="shared" si="4"/>
        <v>3116</v>
      </c>
      <c r="S10" s="28"/>
      <c r="T10" s="44"/>
      <c r="U10" s="11">
        <f t="shared" si="0"/>
        <v>7156</v>
      </c>
      <c r="V10" s="51"/>
      <c r="AA10" s="67"/>
      <c r="AB10" s="68"/>
      <c r="AC10" s="67"/>
      <c r="AD10" s="67"/>
      <c r="AE10" s="71"/>
    </row>
    <row r="11" spans="1:31" ht="18" customHeight="1" x14ac:dyDescent="0.4">
      <c r="A11" s="54" t="s">
        <v>33</v>
      </c>
      <c r="B11" s="8">
        <v>3810</v>
      </c>
      <c r="C11" s="1" t="s">
        <v>35</v>
      </c>
      <c r="D11" s="1" t="s">
        <v>34</v>
      </c>
      <c r="E11" s="1" t="s">
        <v>36</v>
      </c>
      <c r="F11" s="9">
        <v>3900</v>
      </c>
      <c r="G11" s="52">
        <v>932</v>
      </c>
      <c r="H11" s="52">
        <v>941</v>
      </c>
      <c r="I11" s="23">
        <f t="shared" ref="I11" si="6">H11-G11</f>
        <v>9</v>
      </c>
      <c r="J11" s="23">
        <v>20</v>
      </c>
      <c r="K11" s="10">
        <v>20</v>
      </c>
      <c r="L11" s="11">
        <f t="shared" si="2"/>
        <v>200</v>
      </c>
      <c r="M11" s="52">
        <v>5628</v>
      </c>
      <c r="N11" s="52">
        <v>6173</v>
      </c>
      <c r="O11" s="12">
        <f t="shared" ref="O11" si="7">N11-M11</f>
        <v>545</v>
      </c>
      <c r="P11" s="12">
        <v>9</v>
      </c>
      <c r="Q11" s="12">
        <v>20</v>
      </c>
      <c r="R11" s="11">
        <f t="shared" si="4"/>
        <v>4925</v>
      </c>
      <c r="S11" s="28"/>
      <c r="T11" s="44"/>
      <c r="U11" s="11">
        <f t="shared" si="0"/>
        <v>9025</v>
      </c>
      <c r="V11" s="24"/>
      <c r="X11" s="16"/>
      <c r="AA11" s="67"/>
      <c r="AB11" s="68"/>
      <c r="AC11" s="67"/>
      <c r="AD11" s="67"/>
      <c r="AE11" s="71"/>
    </row>
    <row r="12" spans="1:31" ht="18" customHeight="1" x14ac:dyDescent="0.4">
      <c r="A12" s="54" t="s">
        <v>33</v>
      </c>
      <c r="B12" s="8">
        <v>3811</v>
      </c>
      <c r="C12" s="1" t="s">
        <v>35</v>
      </c>
      <c r="D12" s="1" t="s">
        <v>34</v>
      </c>
      <c r="E12" s="1" t="s">
        <v>36</v>
      </c>
      <c r="F12" s="18">
        <v>2900</v>
      </c>
      <c r="G12" s="52">
        <v>1120</v>
      </c>
      <c r="H12" s="52">
        <v>1123</v>
      </c>
      <c r="I12" s="23">
        <f t="shared" si="1"/>
        <v>3</v>
      </c>
      <c r="J12" s="23">
        <v>20</v>
      </c>
      <c r="K12" s="10">
        <v>20</v>
      </c>
      <c r="L12" s="11">
        <f t="shared" si="2"/>
        <v>120</v>
      </c>
      <c r="M12" s="52">
        <v>1402</v>
      </c>
      <c r="N12" s="52">
        <v>1443</v>
      </c>
      <c r="O12" s="12">
        <f t="shared" si="3"/>
        <v>41</v>
      </c>
      <c r="P12" s="12">
        <v>9</v>
      </c>
      <c r="Q12" s="12">
        <v>20</v>
      </c>
      <c r="R12" s="11">
        <f t="shared" si="4"/>
        <v>389</v>
      </c>
      <c r="S12" s="8"/>
      <c r="T12" s="8"/>
      <c r="U12" s="11">
        <f t="shared" si="0"/>
        <v>3409</v>
      </c>
      <c r="V12" s="13"/>
      <c r="AA12" s="67"/>
      <c r="AB12" s="68"/>
      <c r="AC12" s="67"/>
      <c r="AD12" s="67"/>
      <c r="AE12" s="71"/>
    </row>
    <row r="13" spans="1:31" ht="18" customHeight="1" x14ac:dyDescent="0.4">
      <c r="A13" s="54" t="s">
        <v>33</v>
      </c>
      <c r="B13" s="8">
        <v>3812</v>
      </c>
      <c r="C13" s="1" t="s">
        <v>35</v>
      </c>
      <c r="D13" s="1" t="s">
        <v>34</v>
      </c>
      <c r="E13" s="1" t="s">
        <v>36</v>
      </c>
      <c r="F13" s="18">
        <v>2900</v>
      </c>
      <c r="G13" s="52">
        <v>654</v>
      </c>
      <c r="H13" s="52">
        <v>661</v>
      </c>
      <c r="I13" s="23">
        <f t="shared" si="1"/>
        <v>7</v>
      </c>
      <c r="J13" s="23">
        <v>20</v>
      </c>
      <c r="K13" s="10">
        <v>20</v>
      </c>
      <c r="L13" s="11">
        <f t="shared" si="2"/>
        <v>160</v>
      </c>
      <c r="M13" s="52">
        <v>6104</v>
      </c>
      <c r="N13" s="52">
        <v>6156</v>
      </c>
      <c r="O13" s="12">
        <f t="shared" si="3"/>
        <v>52</v>
      </c>
      <c r="P13" s="12">
        <v>9</v>
      </c>
      <c r="Q13" s="12">
        <v>20</v>
      </c>
      <c r="R13" s="11">
        <f t="shared" si="4"/>
        <v>488</v>
      </c>
      <c r="S13" s="8"/>
      <c r="T13" s="8"/>
      <c r="U13" s="11">
        <f t="shared" si="0"/>
        <v>3548</v>
      </c>
      <c r="V13" s="24"/>
      <c r="AA13" s="67"/>
      <c r="AB13" s="68"/>
      <c r="AC13" s="67"/>
      <c r="AD13" s="67"/>
      <c r="AE13" s="71"/>
    </row>
    <row r="14" spans="1:31" ht="18" customHeight="1" x14ac:dyDescent="0.4">
      <c r="A14" s="54" t="s">
        <v>33</v>
      </c>
      <c r="B14" s="12">
        <v>3813</v>
      </c>
      <c r="C14" s="1" t="s">
        <v>35</v>
      </c>
      <c r="D14" s="1" t="s">
        <v>34</v>
      </c>
      <c r="E14" s="1" t="s">
        <v>36</v>
      </c>
      <c r="F14" s="18">
        <v>3700</v>
      </c>
      <c r="G14" s="52">
        <v>1479</v>
      </c>
      <c r="H14" s="52">
        <v>1492</v>
      </c>
      <c r="I14" s="23">
        <f t="shared" si="1"/>
        <v>13</v>
      </c>
      <c r="J14" s="23">
        <v>20</v>
      </c>
      <c r="K14" s="10">
        <v>20</v>
      </c>
      <c r="L14" s="11">
        <f t="shared" si="2"/>
        <v>280</v>
      </c>
      <c r="M14" s="52">
        <v>7444</v>
      </c>
      <c r="N14" s="52">
        <v>7720</v>
      </c>
      <c r="O14" s="12">
        <f t="shared" si="3"/>
        <v>276</v>
      </c>
      <c r="P14" s="12">
        <v>9</v>
      </c>
      <c r="Q14" s="12">
        <v>20</v>
      </c>
      <c r="R14" s="11">
        <f t="shared" si="4"/>
        <v>2504</v>
      </c>
      <c r="S14" s="28"/>
      <c r="T14" s="44"/>
      <c r="U14" s="11">
        <f>IF(F14=" ",0,SUM(F14,L14,R14,X14,Y14))</f>
        <v>6484</v>
      </c>
      <c r="V14" s="24"/>
      <c r="X14" s="2"/>
      <c r="Y14" s="44"/>
      <c r="AA14" s="67"/>
      <c r="AB14" s="68"/>
      <c r="AC14" s="67"/>
      <c r="AD14" s="67"/>
      <c r="AE14" s="71"/>
    </row>
    <row r="15" spans="1:31" ht="18" customHeight="1" x14ac:dyDescent="0.4">
      <c r="A15" s="54" t="s">
        <v>33</v>
      </c>
      <c r="B15" s="8">
        <v>3814</v>
      </c>
      <c r="C15" s="1" t="s">
        <v>35</v>
      </c>
      <c r="D15" s="1" t="s">
        <v>34</v>
      </c>
      <c r="E15" s="1" t="s">
        <v>36</v>
      </c>
      <c r="F15" s="9">
        <v>2900</v>
      </c>
      <c r="G15" s="52">
        <v>964</v>
      </c>
      <c r="H15" s="52">
        <v>974</v>
      </c>
      <c r="I15" s="23">
        <f t="shared" si="1"/>
        <v>10</v>
      </c>
      <c r="J15" s="23">
        <v>20</v>
      </c>
      <c r="K15" s="10">
        <v>20</v>
      </c>
      <c r="L15" s="11">
        <f t="shared" si="2"/>
        <v>220</v>
      </c>
      <c r="M15" s="52">
        <v>2080</v>
      </c>
      <c r="N15" s="52">
        <v>2193</v>
      </c>
      <c r="O15" s="12">
        <f t="shared" si="3"/>
        <v>113</v>
      </c>
      <c r="P15" s="12">
        <v>9</v>
      </c>
      <c r="Q15" s="12">
        <v>20</v>
      </c>
      <c r="R15" s="11">
        <f t="shared" si="4"/>
        <v>1037</v>
      </c>
      <c r="S15" s="8"/>
      <c r="T15" s="8"/>
      <c r="U15" s="11">
        <f t="shared" ref="U15:U33" si="8">IF(F15=" ",0,SUM(F15,L15,R15,S15,T15))</f>
        <v>4157</v>
      </c>
      <c r="V15" s="13"/>
      <c r="AA15" s="67"/>
      <c r="AB15" s="69"/>
      <c r="AC15" s="67"/>
      <c r="AD15" s="67"/>
      <c r="AE15" s="71"/>
    </row>
    <row r="16" spans="1:31" s="65" customFormat="1" ht="18" customHeight="1" x14ac:dyDescent="0.4">
      <c r="A16" s="54" t="s">
        <v>33</v>
      </c>
      <c r="B16" s="8">
        <v>3815</v>
      </c>
      <c r="C16" s="1" t="s">
        <v>35</v>
      </c>
      <c r="D16" s="1" t="s">
        <v>34</v>
      </c>
      <c r="E16" s="1" t="s">
        <v>36</v>
      </c>
      <c r="F16" s="18">
        <v>2900</v>
      </c>
      <c r="G16" s="52">
        <v>823</v>
      </c>
      <c r="H16" s="52">
        <v>825</v>
      </c>
      <c r="I16" s="23">
        <f t="shared" si="1"/>
        <v>2</v>
      </c>
      <c r="J16" s="23">
        <v>20</v>
      </c>
      <c r="K16" s="10">
        <v>20</v>
      </c>
      <c r="L16" s="11">
        <f t="shared" si="2"/>
        <v>120</v>
      </c>
      <c r="M16" s="52">
        <v>5778</v>
      </c>
      <c r="N16" s="52">
        <v>5829</v>
      </c>
      <c r="O16" s="12">
        <f t="shared" si="3"/>
        <v>51</v>
      </c>
      <c r="P16" s="12">
        <v>9</v>
      </c>
      <c r="Q16" s="12">
        <v>20</v>
      </c>
      <c r="R16" s="11">
        <f t="shared" si="4"/>
        <v>479</v>
      </c>
      <c r="S16" s="8"/>
      <c r="T16" s="8"/>
      <c r="U16" s="11">
        <f t="shared" si="8"/>
        <v>3499</v>
      </c>
      <c r="V16" s="24"/>
      <c r="W16" s="28"/>
      <c r="X16" s="16"/>
      <c r="Y16" s="1"/>
      <c r="AA16" s="67"/>
      <c r="AB16" s="68"/>
      <c r="AC16" s="67"/>
      <c r="AD16" s="67"/>
      <c r="AE16" s="71"/>
    </row>
    <row r="17" spans="1:31" ht="18" customHeight="1" x14ac:dyDescent="0.4">
      <c r="A17" s="54" t="s">
        <v>33</v>
      </c>
      <c r="B17" s="8">
        <v>3816</v>
      </c>
      <c r="C17" s="1" t="s">
        <v>35</v>
      </c>
      <c r="D17" s="1" t="s">
        <v>34</v>
      </c>
      <c r="E17" s="1" t="s">
        <v>36</v>
      </c>
      <c r="F17" s="9">
        <v>2200</v>
      </c>
      <c r="G17" s="52">
        <v>772</v>
      </c>
      <c r="H17" s="52">
        <v>774</v>
      </c>
      <c r="I17" s="23">
        <f t="shared" si="1"/>
        <v>2</v>
      </c>
      <c r="J17" s="23">
        <v>20</v>
      </c>
      <c r="K17" s="10">
        <v>20</v>
      </c>
      <c r="L17" s="11">
        <f t="shared" si="2"/>
        <v>120</v>
      </c>
      <c r="M17" s="52">
        <v>15</v>
      </c>
      <c r="N17" s="52">
        <v>21</v>
      </c>
      <c r="O17" s="12">
        <f t="shared" si="3"/>
        <v>6</v>
      </c>
      <c r="P17" s="12">
        <v>9</v>
      </c>
      <c r="Q17" s="12">
        <v>20</v>
      </c>
      <c r="R17" s="11">
        <f t="shared" si="4"/>
        <v>74</v>
      </c>
      <c r="S17" s="8"/>
      <c r="T17" s="8"/>
      <c r="U17" s="11">
        <f t="shared" si="8"/>
        <v>2394</v>
      </c>
      <c r="V17" s="24"/>
      <c r="AA17" s="67"/>
      <c r="AB17" s="68"/>
      <c r="AC17" s="67"/>
      <c r="AD17" s="67"/>
      <c r="AE17" s="71"/>
    </row>
    <row r="18" spans="1:31" ht="18" customHeight="1" x14ac:dyDescent="0.4">
      <c r="A18" s="54" t="s">
        <v>33</v>
      </c>
      <c r="B18" s="8">
        <v>3817</v>
      </c>
      <c r="C18" s="1" t="s">
        <v>35</v>
      </c>
      <c r="D18" s="1" t="s">
        <v>34</v>
      </c>
      <c r="E18" s="1" t="s">
        <v>36</v>
      </c>
      <c r="F18" s="18">
        <v>3500</v>
      </c>
      <c r="G18" s="52">
        <v>1077</v>
      </c>
      <c r="H18" s="52">
        <v>1080</v>
      </c>
      <c r="I18" s="23">
        <f t="shared" ref="I18" si="9">H18-G18</f>
        <v>3</v>
      </c>
      <c r="J18" s="23">
        <v>20</v>
      </c>
      <c r="K18" s="6">
        <v>20</v>
      </c>
      <c r="L18" s="11">
        <f t="shared" si="2"/>
        <v>120</v>
      </c>
      <c r="M18" s="52">
        <v>14</v>
      </c>
      <c r="N18" s="52">
        <v>35</v>
      </c>
      <c r="O18" s="12">
        <f t="shared" ref="O18" si="10">N18-M18</f>
        <v>21</v>
      </c>
      <c r="P18" s="12">
        <v>9</v>
      </c>
      <c r="Q18" s="5">
        <v>20</v>
      </c>
      <c r="R18" s="11">
        <f t="shared" si="4"/>
        <v>209</v>
      </c>
      <c r="S18" s="8"/>
      <c r="T18" s="8"/>
      <c r="U18" s="11">
        <f t="shared" si="8"/>
        <v>3829</v>
      </c>
      <c r="V18" s="24"/>
      <c r="X18" s="16"/>
      <c r="AA18" s="67"/>
      <c r="AB18" s="69"/>
      <c r="AC18" s="67"/>
      <c r="AD18" s="67"/>
      <c r="AE18" s="71"/>
    </row>
    <row r="19" spans="1:31" ht="18" customHeight="1" x14ac:dyDescent="0.4">
      <c r="A19" s="54" t="s">
        <v>33</v>
      </c>
      <c r="B19" s="8">
        <v>3818</v>
      </c>
      <c r="C19" s="1" t="s">
        <v>35</v>
      </c>
      <c r="D19" s="1" t="s">
        <v>34</v>
      </c>
      <c r="E19" s="1" t="s">
        <v>36</v>
      </c>
      <c r="F19" s="9">
        <v>2600</v>
      </c>
      <c r="G19" s="52">
        <v>846</v>
      </c>
      <c r="H19" s="52">
        <v>848</v>
      </c>
      <c r="I19" s="23">
        <f t="shared" si="1"/>
        <v>2</v>
      </c>
      <c r="J19" s="23">
        <v>20</v>
      </c>
      <c r="K19" s="10">
        <v>20</v>
      </c>
      <c r="L19" s="11">
        <f t="shared" si="2"/>
        <v>120</v>
      </c>
      <c r="M19" s="52">
        <v>1602</v>
      </c>
      <c r="N19" s="52">
        <v>1612</v>
      </c>
      <c r="O19" s="12">
        <f t="shared" si="3"/>
        <v>10</v>
      </c>
      <c r="P19" s="12">
        <v>9</v>
      </c>
      <c r="Q19" s="12">
        <v>20</v>
      </c>
      <c r="R19" s="11">
        <f t="shared" si="4"/>
        <v>110</v>
      </c>
      <c r="S19" s="8"/>
      <c r="T19" s="8"/>
      <c r="U19" s="11">
        <f t="shared" si="8"/>
        <v>2830</v>
      </c>
      <c r="V19" s="24"/>
      <c r="AA19" s="67"/>
      <c r="AB19" s="68"/>
      <c r="AC19" s="67"/>
      <c r="AD19" s="67"/>
      <c r="AE19" s="71"/>
    </row>
    <row r="20" spans="1:31" ht="18" customHeight="1" x14ac:dyDescent="0.4">
      <c r="A20" s="54" t="s">
        <v>33</v>
      </c>
      <c r="B20" s="8">
        <v>3819</v>
      </c>
      <c r="C20" s="1" t="s">
        <v>35</v>
      </c>
      <c r="D20" s="1" t="s">
        <v>34</v>
      </c>
      <c r="E20" s="1" t="s">
        <v>36</v>
      </c>
      <c r="F20" s="18">
        <v>2900</v>
      </c>
      <c r="G20" s="52">
        <v>696</v>
      </c>
      <c r="H20" s="52">
        <v>706</v>
      </c>
      <c r="I20" s="23">
        <f t="shared" si="1"/>
        <v>10</v>
      </c>
      <c r="J20" s="23">
        <v>20</v>
      </c>
      <c r="K20" s="10">
        <v>20</v>
      </c>
      <c r="L20" s="11">
        <f t="shared" si="2"/>
        <v>220</v>
      </c>
      <c r="M20" s="52">
        <v>4301</v>
      </c>
      <c r="N20" s="52">
        <v>4405</v>
      </c>
      <c r="O20" s="12">
        <f t="shared" si="3"/>
        <v>104</v>
      </c>
      <c r="P20" s="12">
        <v>9</v>
      </c>
      <c r="Q20" s="12">
        <v>20</v>
      </c>
      <c r="R20" s="11">
        <f t="shared" si="4"/>
        <v>956</v>
      </c>
      <c r="S20" s="8"/>
      <c r="T20" s="8"/>
      <c r="U20" s="11">
        <f t="shared" si="8"/>
        <v>4076</v>
      </c>
      <c r="V20" s="24"/>
      <c r="AA20" s="67"/>
      <c r="AB20" s="68"/>
      <c r="AC20" s="67"/>
      <c r="AD20" s="67"/>
      <c r="AE20" s="71"/>
    </row>
    <row r="21" spans="1:31" ht="18" customHeight="1" x14ac:dyDescent="0.4">
      <c r="A21" s="54" t="s">
        <v>33</v>
      </c>
      <c r="B21" s="8">
        <v>3820</v>
      </c>
      <c r="C21" s="1" t="s">
        <v>35</v>
      </c>
      <c r="D21" s="1" t="s">
        <v>34</v>
      </c>
      <c r="E21" s="1" t="s">
        <v>36</v>
      </c>
      <c r="F21" s="9">
        <v>2600</v>
      </c>
      <c r="G21" s="52">
        <v>994</v>
      </c>
      <c r="H21" s="52">
        <v>998</v>
      </c>
      <c r="I21" s="23">
        <f t="shared" si="1"/>
        <v>4</v>
      </c>
      <c r="J21" s="23">
        <v>20</v>
      </c>
      <c r="K21" s="10">
        <v>20</v>
      </c>
      <c r="L21" s="11">
        <f t="shared" si="2"/>
        <v>120</v>
      </c>
      <c r="M21" s="52">
        <v>918</v>
      </c>
      <c r="N21" s="52">
        <v>945</v>
      </c>
      <c r="O21" s="12">
        <f t="shared" si="3"/>
        <v>27</v>
      </c>
      <c r="P21" s="12">
        <v>9</v>
      </c>
      <c r="Q21" s="12">
        <v>20</v>
      </c>
      <c r="R21" s="11">
        <f t="shared" si="4"/>
        <v>263</v>
      </c>
      <c r="S21" s="8"/>
      <c r="T21" s="8"/>
      <c r="U21" s="11">
        <f t="shared" si="8"/>
        <v>2983</v>
      </c>
      <c r="V21" s="24"/>
      <c r="AA21" s="67"/>
      <c r="AB21" s="69"/>
      <c r="AC21" s="67"/>
      <c r="AD21" s="67"/>
      <c r="AE21" s="71"/>
    </row>
    <row r="22" spans="1:31" ht="18" customHeight="1" x14ac:dyDescent="0.4">
      <c r="A22" s="54" t="s">
        <v>33</v>
      </c>
      <c r="B22" s="8">
        <v>3821</v>
      </c>
      <c r="C22" s="1" t="s">
        <v>35</v>
      </c>
      <c r="D22" s="1" t="s">
        <v>34</v>
      </c>
      <c r="E22" s="1" t="s">
        <v>36</v>
      </c>
      <c r="F22" s="9">
        <v>2900</v>
      </c>
      <c r="G22" s="52">
        <v>981</v>
      </c>
      <c r="H22" s="52">
        <v>982</v>
      </c>
      <c r="I22" s="23">
        <f t="shared" si="1"/>
        <v>1</v>
      </c>
      <c r="J22" s="23">
        <v>20</v>
      </c>
      <c r="K22" s="10">
        <v>20</v>
      </c>
      <c r="L22" s="11">
        <f t="shared" si="2"/>
        <v>120</v>
      </c>
      <c r="M22" s="52">
        <v>64</v>
      </c>
      <c r="N22" s="52">
        <v>80</v>
      </c>
      <c r="O22" s="12">
        <f t="shared" si="3"/>
        <v>16</v>
      </c>
      <c r="P22" s="12">
        <v>9</v>
      </c>
      <c r="Q22" s="12">
        <v>20</v>
      </c>
      <c r="R22" s="11">
        <f t="shared" si="4"/>
        <v>164</v>
      </c>
      <c r="S22" s="8"/>
      <c r="T22" s="8"/>
      <c r="U22" s="11">
        <f t="shared" si="8"/>
        <v>3184</v>
      </c>
      <c r="V22" s="25"/>
      <c r="AA22" s="67"/>
      <c r="AB22" s="68"/>
      <c r="AC22" s="67"/>
      <c r="AD22" s="67"/>
      <c r="AE22" s="71"/>
    </row>
    <row r="23" spans="1:31" ht="18" customHeight="1" x14ac:dyDescent="0.4">
      <c r="A23" s="54" t="s">
        <v>33</v>
      </c>
      <c r="B23" s="8">
        <v>3822</v>
      </c>
      <c r="C23" s="1" t="s">
        <v>35</v>
      </c>
      <c r="D23" s="1" t="s">
        <v>34</v>
      </c>
      <c r="E23" s="1" t="s">
        <v>36</v>
      </c>
      <c r="F23" s="9">
        <v>2900</v>
      </c>
      <c r="G23" s="52">
        <v>45</v>
      </c>
      <c r="H23" s="52">
        <v>46</v>
      </c>
      <c r="I23" s="23">
        <f t="shared" si="1"/>
        <v>1</v>
      </c>
      <c r="J23" s="23">
        <v>20</v>
      </c>
      <c r="K23" s="10">
        <v>20</v>
      </c>
      <c r="L23" s="11">
        <f t="shared" si="2"/>
        <v>120</v>
      </c>
      <c r="M23" s="52">
        <v>422</v>
      </c>
      <c r="N23" s="52">
        <v>425</v>
      </c>
      <c r="O23" s="12">
        <f t="shared" si="3"/>
        <v>3</v>
      </c>
      <c r="P23" s="12">
        <v>9</v>
      </c>
      <c r="Q23" s="12">
        <v>20</v>
      </c>
      <c r="R23" s="11">
        <f t="shared" si="4"/>
        <v>65</v>
      </c>
      <c r="S23" s="8"/>
      <c r="T23" s="8"/>
      <c r="U23" s="11">
        <f t="shared" si="8"/>
        <v>3085</v>
      </c>
      <c r="V23" s="24"/>
      <c r="AA23" s="67"/>
      <c r="AB23" s="68"/>
      <c r="AC23" s="67"/>
      <c r="AD23" s="67"/>
      <c r="AE23" s="71"/>
    </row>
    <row r="24" spans="1:31" ht="18" customHeight="1" x14ac:dyDescent="0.4">
      <c r="A24" s="54" t="s">
        <v>33</v>
      </c>
      <c r="B24" s="8">
        <v>3823</v>
      </c>
      <c r="C24" s="1" t="s">
        <v>35</v>
      </c>
      <c r="D24" s="1" t="s">
        <v>34</v>
      </c>
      <c r="E24" s="1" t="s">
        <v>36</v>
      </c>
      <c r="F24" s="9">
        <v>2600</v>
      </c>
      <c r="G24" s="52">
        <v>1124</v>
      </c>
      <c r="H24" s="52">
        <v>1127</v>
      </c>
      <c r="I24" s="23">
        <f t="shared" ref="I24:I25" si="11">H24-G24</f>
        <v>3</v>
      </c>
      <c r="J24" s="23">
        <v>20</v>
      </c>
      <c r="K24" s="10">
        <v>20</v>
      </c>
      <c r="L24" s="11">
        <f t="shared" si="2"/>
        <v>120</v>
      </c>
      <c r="M24" s="52">
        <v>5608</v>
      </c>
      <c r="N24" s="52">
        <v>5632</v>
      </c>
      <c r="O24" s="12">
        <f t="shared" ref="O24:O25" si="12">N24-M24</f>
        <v>24</v>
      </c>
      <c r="P24" s="12">
        <v>9</v>
      </c>
      <c r="Q24" s="12">
        <v>20</v>
      </c>
      <c r="R24" s="11">
        <f t="shared" si="4"/>
        <v>236</v>
      </c>
      <c r="S24" s="8"/>
      <c r="T24" s="8"/>
      <c r="U24" s="11">
        <f t="shared" si="8"/>
        <v>2956</v>
      </c>
      <c r="V24" s="25"/>
      <c r="AA24" s="67"/>
      <c r="AB24" s="68"/>
      <c r="AC24" s="67"/>
      <c r="AD24" s="67"/>
      <c r="AE24" s="71"/>
    </row>
    <row r="25" spans="1:31" ht="18" customHeight="1" x14ac:dyDescent="0.4">
      <c r="A25" s="54" t="s">
        <v>33</v>
      </c>
      <c r="B25" s="8">
        <v>3824</v>
      </c>
      <c r="C25" s="1" t="s">
        <v>35</v>
      </c>
      <c r="D25" s="1" t="s">
        <v>34</v>
      </c>
      <c r="E25" s="1" t="s">
        <v>36</v>
      </c>
      <c r="F25" s="9">
        <v>2600</v>
      </c>
      <c r="G25" s="52">
        <v>1250</v>
      </c>
      <c r="H25" s="52">
        <v>1251</v>
      </c>
      <c r="I25" s="23">
        <f t="shared" si="11"/>
        <v>1</v>
      </c>
      <c r="J25" s="23">
        <v>20</v>
      </c>
      <c r="K25" s="10">
        <v>20</v>
      </c>
      <c r="L25" s="11">
        <f t="shared" si="2"/>
        <v>120</v>
      </c>
      <c r="M25" s="52">
        <v>6885</v>
      </c>
      <c r="N25" s="52">
        <v>7028</v>
      </c>
      <c r="O25" s="12">
        <f t="shared" si="12"/>
        <v>143</v>
      </c>
      <c r="P25" s="12">
        <v>9</v>
      </c>
      <c r="Q25" s="12">
        <v>20</v>
      </c>
      <c r="R25" s="11">
        <f t="shared" si="4"/>
        <v>1307</v>
      </c>
      <c r="S25" s="8"/>
      <c r="T25" s="8"/>
      <c r="U25" s="11">
        <f t="shared" si="8"/>
        <v>4027</v>
      </c>
      <c r="V25" s="24"/>
      <c r="AA25" s="67"/>
      <c r="AB25" s="68"/>
      <c r="AC25" s="67"/>
      <c r="AD25" s="67"/>
      <c r="AE25" s="71"/>
    </row>
    <row r="26" spans="1:31" ht="18" customHeight="1" x14ac:dyDescent="0.4">
      <c r="A26" s="54" t="s">
        <v>33</v>
      </c>
      <c r="B26" s="8">
        <v>3825</v>
      </c>
      <c r="C26" s="1" t="s">
        <v>35</v>
      </c>
      <c r="D26" s="1" t="s">
        <v>34</v>
      </c>
      <c r="E26" s="1" t="s">
        <v>36</v>
      </c>
      <c r="F26" s="18">
        <v>2600</v>
      </c>
      <c r="G26" s="52">
        <v>813</v>
      </c>
      <c r="H26" s="52">
        <v>815</v>
      </c>
      <c r="I26" s="23">
        <f t="shared" si="1"/>
        <v>2</v>
      </c>
      <c r="J26" s="23">
        <v>20</v>
      </c>
      <c r="K26" s="10">
        <v>20</v>
      </c>
      <c r="L26" s="11">
        <f t="shared" si="2"/>
        <v>120</v>
      </c>
      <c r="M26" s="52">
        <v>260</v>
      </c>
      <c r="N26" s="52">
        <v>286</v>
      </c>
      <c r="O26" s="12">
        <f t="shared" si="3"/>
        <v>26</v>
      </c>
      <c r="P26" s="12">
        <v>9</v>
      </c>
      <c r="Q26" s="12">
        <v>20</v>
      </c>
      <c r="R26" s="11">
        <f t="shared" si="4"/>
        <v>254</v>
      </c>
      <c r="S26" s="8"/>
      <c r="T26" s="8"/>
      <c r="U26" s="11">
        <f t="shared" si="8"/>
        <v>2974</v>
      </c>
      <c r="V26" s="24"/>
      <c r="AA26" s="67"/>
      <c r="AB26" s="68"/>
      <c r="AC26" s="67"/>
      <c r="AD26" s="67"/>
      <c r="AE26" s="72"/>
    </row>
    <row r="27" spans="1:31" ht="18" customHeight="1" x14ac:dyDescent="0.4">
      <c r="A27" s="54" t="s">
        <v>33</v>
      </c>
      <c r="B27" s="8">
        <v>3826</v>
      </c>
      <c r="C27" s="1" t="s">
        <v>35</v>
      </c>
      <c r="D27" s="1" t="s">
        <v>34</v>
      </c>
      <c r="E27" s="1" t="s">
        <v>36</v>
      </c>
      <c r="F27" s="18">
        <v>2600</v>
      </c>
      <c r="G27" s="52">
        <v>852</v>
      </c>
      <c r="H27" s="52">
        <v>855</v>
      </c>
      <c r="I27" s="23">
        <f t="shared" si="1"/>
        <v>3</v>
      </c>
      <c r="J27" s="23">
        <v>20</v>
      </c>
      <c r="K27" s="10">
        <v>20</v>
      </c>
      <c r="L27" s="11">
        <f t="shared" si="2"/>
        <v>120</v>
      </c>
      <c r="M27" s="52">
        <v>292</v>
      </c>
      <c r="N27" s="52">
        <v>320</v>
      </c>
      <c r="O27" s="12">
        <f t="shared" si="3"/>
        <v>28</v>
      </c>
      <c r="P27" s="12">
        <v>9</v>
      </c>
      <c r="Q27" s="12">
        <v>20</v>
      </c>
      <c r="R27" s="11">
        <f t="shared" si="4"/>
        <v>272</v>
      </c>
      <c r="S27" s="2"/>
      <c r="T27" s="8"/>
      <c r="U27" s="11">
        <f t="shared" si="8"/>
        <v>2992</v>
      </c>
      <c r="V27" s="24"/>
      <c r="AA27" s="67"/>
      <c r="AB27" s="68"/>
      <c r="AC27" s="67"/>
      <c r="AD27" s="67"/>
      <c r="AE27" s="72"/>
    </row>
    <row r="28" spans="1:31" ht="18" customHeight="1" x14ac:dyDescent="0.4">
      <c r="A28" s="54" t="s">
        <v>33</v>
      </c>
      <c r="B28" s="8">
        <v>3827</v>
      </c>
      <c r="C28" s="1" t="s">
        <v>35</v>
      </c>
      <c r="D28" s="1" t="s">
        <v>34</v>
      </c>
      <c r="E28" s="1" t="s">
        <v>36</v>
      </c>
      <c r="F28" s="18">
        <v>2900</v>
      </c>
      <c r="G28" s="52">
        <v>1526</v>
      </c>
      <c r="H28" s="52">
        <v>1535</v>
      </c>
      <c r="I28" s="23">
        <f t="shared" si="1"/>
        <v>9</v>
      </c>
      <c r="J28" s="23">
        <v>20</v>
      </c>
      <c r="K28" s="10">
        <v>20</v>
      </c>
      <c r="L28" s="11">
        <f t="shared" si="2"/>
        <v>200</v>
      </c>
      <c r="M28" s="52">
        <v>1723</v>
      </c>
      <c r="N28" s="52">
        <v>1813</v>
      </c>
      <c r="O28" s="12">
        <f t="shared" si="3"/>
        <v>90</v>
      </c>
      <c r="P28" s="12">
        <v>9</v>
      </c>
      <c r="Q28" s="12">
        <v>20</v>
      </c>
      <c r="R28" s="11">
        <f t="shared" si="4"/>
        <v>830</v>
      </c>
      <c r="S28" s="8"/>
      <c r="T28" s="8"/>
      <c r="U28" s="11">
        <f t="shared" si="8"/>
        <v>3930</v>
      </c>
      <c r="V28" s="24"/>
      <c r="AA28" s="67"/>
      <c r="AB28" s="68"/>
      <c r="AC28" s="67"/>
      <c r="AD28" s="67"/>
      <c r="AE28" s="72"/>
    </row>
    <row r="29" spans="1:31" ht="18" customHeight="1" x14ac:dyDescent="0.4">
      <c r="A29" s="54" t="s">
        <v>33</v>
      </c>
      <c r="B29" s="8">
        <v>3828</v>
      </c>
      <c r="C29" s="1" t="s">
        <v>35</v>
      </c>
      <c r="D29" s="1" t="s">
        <v>34</v>
      </c>
      <c r="E29" s="1" t="s">
        <v>36</v>
      </c>
      <c r="F29" s="18">
        <v>2600</v>
      </c>
      <c r="G29" s="52">
        <v>810</v>
      </c>
      <c r="H29" s="52">
        <v>812</v>
      </c>
      <c r="I29" s="23">
        <f t="shared" si="1"/>
        <v>2</v>
      </c>
      <c r="J29" s="23">
        <v>20</v>
      </c>
      <c r="K29" s="10">
        <v>20</v>
      </c>
      <c r="L29" s="11">
        <f t="shared" si="2"/>
        <v>120</v>
      </c>
      <c r="M29" s="52">
        <v>338</v>
      </c>
      <c r="N29" s="52">
        <v>370</v>
      </c>
      <c r="O29" s="12">
        <f t="shared" si="3"/>
        <v>32</v>
      </c>
      <c r="P29" s="12">
        <v>9</v>
      </c>
      <c r="Q29" s="12">
        <v>20</v>
      </c>
      <c r="R29" s="11">
        <f t="shared" si="4"/>
        <v>308</v>
      </c>
      <c r="S29" s="2"/>
      <c r="T29" s="8"/>
      <c r="U29" s="11">
        <f t="shared" si="8"/>
        <v>3028</v>
      </c>
      <c r="V29" s="24"/>
      <c r="AA29" s="67"/>
      <c r="AB29" s="68"/>
      <c r="AC29" s="67"/>
      <c r="AD29" s="67"/>
      <c r="AE29" s="72"/>
    </row>
    <row r="30" spans="1:31" ht="18" customHeight="1" x14ac:dyDescent="0.4">
      <c r="A30" s="54" t="s">
        <v>33</v>
      </c>
      <c r="B30" s="8">
        <v>3829</v>
      </c>
      <c r="C30" s="1" t="s">
        <v>35</v>
      </c>
      <c r="D30" s="1" t="s">
        <v>34</v>
      </c>
      <c r="E30" s="1" t="s">
        <v>36</v>
      </c>
      <c r="F30" s="9">
        <v>2900</v>
      </c>
      <c r="G30" s="52">
        <v>980</v>
      </c>
      <c r="H30" s="52">
        <v>986</v>
      </c>
      <c r="I30" s="23">
        <f t="shared" ref="I30" si="13">H30-G30</f>
        <v>6</v>
      </c>
      <c r="J30" s="23">
        <v>20</v>
      </c>
      <c r="K30" s="10">
        <v>20</v>
      </c>
      <c r="L30" s="11">
        <f t="shared" si="2"/>
        <v>140</v>
      </c>
      <c r="M30" s="52">
        <v>9295</v>
      </c>
      <c r="N30" s="52">
        <v>9331</v>
      </c>
      <c r="O30" s="12">
        <f t="shared" ref="O30" si="14">N30-M30</f>
        <v>36</v>
      </c>
      <c r="P30" s="12">
        <v>9</v>
      </c>
      <c r="Q30" s="12">
        <v>20</v>
      </c>
      <c r="R30" s="11">
        <f t="shared" si="4"/>
        <v>344</v>
      </c>
      <c r="S30" s="8"/>
      <c r="T30" s="8"/>
      <c r="U30" s="11">
        <f t="shared" si="8"/>
        <v>3384</v>
      </c>
      <c r="V30" s="53"/>
      <c r="AA30" s="67"/>
      <c r="AB30" s="68"/>
      <c r="AC30" s="67"/>
      <c r="AD30" s="67"/>
      <c r="AE30" s="72"/>
    </row>
    <row r="31" spans="1:31" ht="18" customHeight="1" x14ac:dyDescent="0.4">
      <c r="A31" s="54" t="s">
        <v>33</v>
      </c>
      <c r="B31" s="8">
        <v>3830</v>
      </c>
      <c r="C31" s="1" t="s">
        <v>35</v>
      </c>
      <c r="D31" s="1" t="s">
        <v>34</v>
      </c>
      <c r="E31" s="1" t="s">
        <v>36</v>
      </c>
      <c r="F31" s="9">
        <v>2900</v>
      </c>
      <c r="G31" s="52">
        <v>1159</v>
      </c>
      <c r="H31" s="52">
        <v>1164</v>
      </c>
      <c r="I31" s="23">
        <f t="shared" si="1"/>
        <v>5</v>
      </c>
      <c r="J31" s="23">
        <v>20</v>
      </c>
      <c r="K31" s="10">
        <v>20</v>
      </c>
      <c r="L31" s="11">
        <f t="shared" si="2"/>
        <v>120</v>
      </c>
      <c r="M31" s="52">
        <v>1121</v>
      </c>
      <c r="N31" s="52">
        <v>1174</v>
      </c>
      <c r="O31" s="12">
        <f t="shared" si="3"/>
        <v>53</v>
      </c>
      <c r="P31" s="12">
        <v>9</v>
      </c>
      <c r="Q31" s="12">
        <v>20</v>
      </c>
      <c r="R31" s="11">
        <f t="shared" si="4"/>
        <v>497</v>
      </c>
      <c r="S31" s="8"/>
      <c r="T31" s="8"/>
      <c r="U31" s="11">
        <f t="shared" si="8"/>
        <v>3517</v>
      </c>
      <c r="V31" s="13"/>
      <c r="AA31" s="67"/>
      <c r="AB31" s="68"/>
      <c r="AC31" s="67"/>
      <c r="AD31" s="67"/>
      <c r="AE31" s="72"/>
    </row>
    <row r="32" spans="1:31" ht="18" customHeight="1" x14ac:dyDescent="0.4">
      <c r="A32" s="54" t="s">
        <v>33</v>
      </c>
      <c r="B32" s="8">
        <v>3831</v>
      </c>
      <c r="C32" s="1" t="s">
        <v>35</v>
      </c>
      <c r="D32" s="1" t="s">
        <v>34</v>
      </c>
      <c r="E32" s="1" t="s">
        <v>36</v>
      </c>
      <c r="F32" s="18">
        <v>2900</v>
      </c>
      <c r="G32" s="52">
        <v>1067</v>
      </c>
      <c r="H32" s="52">
        <v>1070</v>
      </c>
      <c r="I32" s="23">
        <f t="shared" si="1"/>
        <v>3</v>
      </c>
      <c r="J32" s="23">
        <v>20</v>
      </c>
      <c r="K32" s="10">
        <v>20</v>
      </c>
      <c r="L32" s="11">
        <f t="shared" si="2"/>
        <v>120</v>
      </c>
      <c r="M32" s="52">
        <v>1596</v>
      </c>
      <c r="N32" s="52">
        <v>1640</v>
      </c>
      <c r="O32" s="12">
        <f t="shared" si="3"/>
        <v>44</v>
      </c>
      <c r="P32" s="12">
        <v>9</v>
      </c>
      <c r="Q32" s="12">
        <v>20</v>
      </c>
      <c r="R32" s="11">
        <f t="shared" si="4"/>
        <v>416</v>
      </c>
      <c r="S32" s="8"/>
      <c r="T32" s="8"/>
      <c r="U32" s="11">
        <f t="shared" si="8"/>
        <v>3436</v>
      </c>
      <c r="V32" s="13"/>
      <c r="AA32" s="67"/>
      <c r="AB32" s="68"/>
      <c r="AC32" s="67"/>
      <c r="AD32" s="67"/>
      <c r="AE32" s="72"/>
    </row>
    <row r="33" spans="1:31" s="3" customFormat="1" ht="18" customHeight="1" x14ac:dyDescent="0.4">
      <c r="A33" s="54" t="s">
        <v>33</v>
      </c>
      <c r="B33" s="8">
        <v>3832</v>
      </c>
      <c r="C33" s="1" t="s">
        <v>35</v>
      </c>
      <c r="D33" s="1" t="s">
        <v>34</v>
      </c>
      <c r="E33" s="1" t="s">
        <v>36</v>
      </c>
      <c r="F33" s="9">
        <v>3000</v>
      </c>
      <c r="G33" s="52">
        <v>321</v>
      </c>
      <c r="H33" s="52">
        <v>323</v>
      </c>
      <c r="I33" s="23">
        <f t="shared" si="1"/>
        <v>2</v>
      </c>
      <c r="J33" s="23">
        <v>20</v>
      </c>
      <c r="K33" s="10">
        <v>20</v>
      </c>
      <c r="L33" s="11">
        <f t="shared" si="2"/>
        <v>120</v>
      </c>
      <c r="M33" s="52">
        <v>4154</v>
      </c>
      <c r="N33" s="52">
        <v>4183</v>
      </c>
      <c r="O33" s="12">
        <f t="shared" si="3"/>
        <v>29</v>
      </c>
      <c r="P33" s="12">
        <v>9</v>
      </c>
      <c r="Q33" s="12">
        <v>20</v>
      </c>
      <c r="R33" s="11">
        <f t="shared" si="4"/>
        <v>281</v>
      </c>
      <c r="S33" s="8"/>
      <c r="T33" s="8"/>
      <c r="U33" s="11">
        <f t="shared" si="8"/>
        <v>3401</v>
      </c>
      <c r="V33" s="24"/>
      <c r="W33" s="28"/>
      <c r="X33" s="1"/>
      <c r="Y33" s="1"/>
      <c r="AA33" s="67"/>
      <c r="AB33" s="68"/>
      <c r="AC33" s="67"/>
      <c r="AD33" s="67"/>
      <c r="AE33" s="72"/>
    </row>
    <row r="34" spans="1:31" s="15" customFormat="1" ht="18" customHeight="1" x14ac:dyDescent="0.4">
      <c r="A34" s="16"/>
      <c r="B34" s="28"/>
      <c r="C34" s="16"/>
      <c r="D34" s="16"/>
      <c r="F34" s="17"/>
      <c r="I34" s="17"/>
      <c r="J34" s="17"/>
      <c r="L34" s="19"/>
      <c r="R34" s="19"/>
      <c r="S34" s="19"/>
      <c r="T34" s="19"/>
      <c r="U34" s="19"/>
      <c r="V34" s="60"/>
      <c r="W34" s="28"/>
    </row>
    <row r="35" spans="1:31" x14ac:dyDescent="0.4">
      <c r="J35" s="1"/>
      <c r="P35" s="1"/>
    </row>
  </sheetData>
  <phoneticPr fontId="12" type="noConversion"/>
  <conditionalFormatting sqref="U2:U1048576">
    <cfRule type="duplicateValues" dxfId="6" priority="14"/>
  </conditionalFormatting>
  <conditionalFormatting sqref="U2:U33">
    <cfRule type="duplicateValues" dxfId="5" priority="8"/>
  </conditionalFormatting>
  <conditionalFormatting sqref="U10:U11">
    <cfRule type="duplicateValues" dxfId="4" priority="10"/>
  </conditionalFormatting>
  <conditionalFormatting sqref="U19">
    <cfRule type="duplicateValues" dxfId="3" priority="12"/>
  </conditionalFormatting>
  <conditionalFormatting sqref="U26:U32">
    <cfRule type="duplicateValues" dxfId="2" priority="9"/>
  </conditionalFormatting>
  <conditionalFormatting sqref="AC2:AC33">
    <cfRule type="duplicateValues" dxfId="1" priority="2"/>
  </conditionalFormatting>
  <conditionalFormatting sqref="AD2:AD33">
    <cfRule type="duplicateValues" dxfId="0" priority="1"/>
  </conditionalFormatting>
  <pageMargins left="0" right="0" top="0" bottom="0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ชั้น 1</vt:lpstr>
      <vt:lpstr>ชั้น 2</vt:lpstr>
      <vt:lpstr>ชั้น 3</vt:lpstr>
      <vt:lpstr>ชั้น 4</vt:lpstr>
      <vt:lpstr>ชั้น 5</vt:lpstr>
      <vt:lpstr>ชั้น 6</vt:lpstr>
      <vt:lpstr>ชั้น 7</vt:lpstr>
      <vt:lpstr>ชั้น 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Chitralada</dc:creator>
  <cp:lastModifiedBy>boss tunchavanich</cp:lastModifiedBy>
  <cp:lastPrinted>2025-05-08T02:36:21Z</cp:lastPrinted>
  <dcterms:created xsi:type="dcterms:W3CDTF">2020-11-29T05:09:58Z</dcterms:created>
  <dcterms:modified xsi:type="dcterms:W3CDTF">2026-01-04T03:55:15Z</dcterms:modified>
</cp:coreProperties>
</file>